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90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erard/Open Data/ScotchData/Scotch data (Unix)/"/>
    </mc:Choice>
  </mc:AlternateContent>
  <bookViews>
    <workbookView xWindow="3200" yWindow="-19660" windowWidth="25600" windowHeight="19820" tabRatio="500"/>
  </bookViews>
  <sheets>
    <sheet name="scotch.xls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3" i="1"/>
  <c r="B104" i="1"/>
  <c r="B105" i="1"/>
  <c r="B106" i="1"/>
  <c r="B107" i="1"/>
  <c r="B108" i="1"/>
  <c r="B109" i="1"/>
  <c r="B110" i="1"/>
  <c r="B111" i="1"/>
  <c r="B112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Y114" i="1"/>
  <c r="BZ114" i="1"/>
  <c r="CA114" i="1"/>
  <c r="CB114" i="1"/>
  <c r="CC114" i="1"/>
  <c r="CD114" i="1"/>
  <c r="CE114" i="1"/>
  <c r="CF114" i="1"/>
  <c r="CG114" i="1"/>
</calcChain>
</file>

<file path=xl/sharedStrings.xml><?xml version="1.0" encoding="utf-8"?>
<sst xmlns="http://schemas.openxmlformats.org/spreadsheetml/2006/main" count="468" uniqueCount="201">
  <si>
    <t>NOSE</t>
  </si>
  <si>
    <t>BODY</t>
  </si>
  <si>
    <t>PAL</t>
  </si>
  <si>
    <t>FIN</t>
  </si>
  <si>
    <t>NAME</t>
  </si>
  <si>
    <t>wyne</t>
  </si>
  <si>
    <t>yellow</t>
  </si>
  <si>
    <t>v.pale</t>
  </si>
  <si>
    <t>pale</t>
  </si>
  <si>
    <t>p.gold</t>
  </si>
  <si>
    <t>gold</t>
  </si>
  <si>
    <t>o.gold</t>
  </si>
  <si>
    <t>f.gold</t>
  </si>
  <si>
    <t>bronze</t>
  </si>
  <si>
    <t>p.amber</t>
  </si>
  <si>
    <t>amber</t>
  </si>
  <si>
    <t>f.amber</t>
  </si>
  <si>
    <t>red</t>
  </si>
  <si>
    <t>sherry</t>
  </si>
  <si>
    <t>AROMA</t>
  </si>
  <si>
    <t>PEAT</t>
  </si>
  <si>
    <t>SWEET</t>
  </si>
  <si>
    <t>LIGHT</t>
  </si>
  <si>
    <t>FRESH</t>
  </si>
  <si>
    <t>DRY</t>
  </si>
  <si>
    <t>FRUIT</t>
  </si>
  <si>
    <t>GRASS</t>
  </si>
  <si>
    <t>SEA</t>
  </si>
  <si>
    <t>SHERRY</t>
  </si>
  <si>
    <t>SPICY</t>
  </si>
  <si>
    <t>RICH</t>
  </si>
  <si>
    <t>soft</t>
  </si>
  <si>
    <t>med</t>
  </si>
  <si>
    <t>full</t>
  </si>
  <si>
    <t>round</t>
  </si>
  <si>
    <t>smooth</t>
  </si>
  <si>
    <t>light</t>
  </si>
  <si>
    <t>firm</t>
  </si>
  <si>
    <t>oily</t>
  </si>
  <si>
    <t>dry</t>
  </si>
  <si>
    <t>big</t>
  </si>
  <si>
    <t>clean</t>
  </si>
  <si>
    <t>fruit</t>
  </si>
  <si>
    <t>grass</t>
  </si>
  <si>
    <t>smoke</t>
  </si>
  <si>
    <t>sweet</t>
  </si>
  <si>
    <t>spice</t>
  </si>
  <si>
    <t>oil</t>
  </si>
  <si>
    <t>salt</t>
  </si>
  <si>
    <t>arome</t>
  </si>
  <si>
    <t>warm</t>
  </si>
  <si>
    <t>ling</t>
  </si>
  <si>
    <t>long</t>
  </si>
  <si>
    <t>very</t>
  </si>
  <si>
    <t>quick</t>
  </si>
  <si>
    <t>AGE</t>
  </si>
  <si>
    <t>DIST</t>
  </si>
  <si>
    <t>SCORE</t>
  </si>
  <si>
    <t>REGION</t>
  </si>
  <si>
    <t>DISTRICT</t>
  </si>
  <si>
    <t>islay</t>
  </si>
  <si>
    <t>midland</t>
  </si>
  <si>
    <t>spey</t>
  </si>
  <si>
    <t>east</t>
  </si>
  <si>
    <t>west</t>
  </si>
  <si>
    <t xml:space="preserve">north </t>
  </si>
  <si>
    <t>lowland</t>
  </si>
  <si>
    <t>campbell</t>
  </si>
  <si>
    <t>islands</t>
  </si>
  <si>
    <t>Aberfeldy</t>
  </si>
  <si>
    <t>HIGH</t>
  </si>
  <si>
    <t>MIDLAND</t>
  </si>
  <si>
    <t>Aberlour</t>
  </si>
  <si>
    <t>SPEY</t>
  </si>
  <si>
    <t>Ardberg</t>
  </si>
  <si>
    <t>ISLAY</t>
  </si>
  <si>
    <t>SOUTH</t>
  </si>
  <si>
    <t>Ardmore</t>
  </si>
  <si>
    <t>Auchentoshan</t>
  </si>
  <si>
    <t>LOW</t>
  </si>
  <si>
    <t>WEST</t>
  </si>
  <si>
    <t>Aultmore</t>
  </si>
  <si>
    <t>Balblair</t>
  </si>
  <si>
    <t>NORTH</t>
  </si>
  <si>
    <t>Balmenach</t>
  </si>
  <si>
    <t>Balvenie</t>
  </si>
  <si>
    <t>Banff</t>
  </si>
  <si>
    <t>Ben Nevis</t>
  </si>
  <si>
    <t>Benriach</t>
  </si>
  <si>
    <t>Benrinnes</t>
  </si>
  <si>
    <t>Benromach</t>
  </si>
  <si>
    <t>Bladnoch</t>
  </si>
  <si>
    <t xml:space="preserve">LOW </t>
  </si>
  <si>
    <t>BORDERS</t>
  </si>
  <si>
    <t>Blair Athol</t>
  </si>
  <si>
    <t>Bowmore</t>
  </si>
  <si>
    <t>LOCH</t>
  </si>
  <si>
    <t>Brackla</t>
  </si>
  <si>
    <t>Bruichladdich</t>
  </si>
  <si>
    <t>Bunnahabhain</t>
  </si>
  <si>
    <t>Caol Ila</t>
  </si>
  <si>
    <t>Caperdonich</t>
  </si>
  <si>
    <t>Cardhu</t>
  </si>
  <si>
    <t>Clynelish</t>
  </si>
  <si>
    <t>Coleburn</t>
  </si>
  <si>
    <t>Convalmore</t>
  </si>
  <si>
    <t>Cragganmore</t>
  </si>
  <si>
    <t>Craigellachie</t>
  </si>
  <si>
    <t>Dailuaine</t>
  </si>
  <si>
    <t>Dallas Dhu</t>
  </si>
  <si>
    <t>Dalmore</t>
  </si>
  <si>
    <t>Dalwhinnie</t>
  </si>
  <si>
    <t>Deanston</t>
  </si>
  <si>
    <t>Dufftown</t>
  </si>
  <si>
    <t>Edradour</t>
  </si>
  <si>
    <t>Fettercairn</t>
  </si>
  <si>
    <t>EAST</t>
  </si>
  <si>
    <t>Glen  Albyn</t>
  </si>
  <si>
    <t>Glenallachie</t>
  </si>
  <si>
    <t>Glenburgie</t>
  </si>
  <si>
    <t>Glencadam</t>
  </si>
  <si>
    <t>Glen Deveron</t>
  </si>
  <si>
    <t>Glendronach</t>
  </si>
  <si>
    <t>Glendullan</t>
  </si>
  <si>
    <t>Glen Elgin</t>
  </si>
  <si>
    <t>Glenesk</t>
  </si>
  <si>
    <t>Glenfarclas</t>
  </si>
  <si>
    <t>Glenfiddich</t>
  </si>
  <si>
    <t>Glen Garioch</t>
  </si>
  <si>
    <t>Glenglassaugh</t>
  </si>
  <si>
    <t>Glengoyne</t>
  </si>
  <si>
    <t>Glen Grant</t>
  </si>
  <si>
    <t>Glen Keith</t>
  </si>
  <si>
    <t>Glenkinchie</t>
  </si>
  <si>
    <t>Glenlivet</t>
  </si>
  <si>
    <t>Glenlochy</t>
  </si>
  <si>
    <t>Glenlossie</t>
  </si>
  <si>
    <t>Glen Mhor</t>
  </si>
  <si>
    <t>Glenmorangie</t>
  </si>
  <si>
    <t>Glen Moray</t>
  </si>
  <si>
    <t>Glen Ordie</t>
  </si>
  <si>
    <t>Glenrothes</t>
  </si>
  <si>
    <t>Glen Scotia</t>
  </si>
  <si>
    <t>CAMPBEL</t>
  </si>
  <si>
    <t>Glen Spey</t>
  </si>
  <si>
    <t>Glentauchers</t>
  </si>
  <si>
    <t>Glenturret</t>
  </si>
  <si>
    <t>Glenugie</t>
  </si>
  <si>
    <t>Glenury Royal</t>
  </si>
  <si>
    <t>Highland Park</t>
  </si>
  <si>
    <t>ORKNEY</t>
  </si>
  <si>
    <t>Imperial</t>
  </si>
  <si>
    <t>Inchgower</t>
  </si>
  <si>
    <t>Inchmurrin</t>
  </si>
  <si>
    <t>Inverleven</t>
  </si>
  <si>
    <t>Jura</t>
  </si>
  <si>
    <t>JURA</t>
  </si>
  <si>
    <t>Kinclaith</t>
  </si>
  <si>
    <t>Knockando</t>
  </si>
  <si>
    <t>Knockdhu</t>
  </si>
  <si>
    <t>Ladyburn</t>
  </si>
  <si>
    <t>Lagavulin</t>
  </si>
  <si>
    <t>Laphroaig</t>
  </si>
  <si>
    <t>Linkwood</t>
  </si>
  <si>
    <t>Littlemill</t>
  </si>
  <si>
    <t>NORTHWEST</t>
  </si>
  <si>
    <t>Lochnagar</t>
  </si>
  <si>
    <t>Lochside</t>
  </si>
  <si>
    <t>Longmorn</t>
  </si>
  <si>
    <t>Macallan</t>
  </si>
  <si>
    <t>Millburn</t>
  </si>
  <si>
    <t>Miltonduff</t>
  </si>
  <si>
    <t>Mortlach</t>
  </si>
  <si>
    <t>North Port</t>
  </si>
  <si>
    <t>Oban</t>
  </si>
  <si>
    <t>Port Ellen</t>
  </si>
  <si>
    <t>Pulteney</t>
  </si>
  <si>
    <t>Rosebank</t>
  </si>
  <si>
    <t>CENTRAL</t>
  </si>
  <si>
    <t>Saint Magdalene</t>
  </si>
  <si>
    <t>Scapa</t>
  </si>
  <si>
    <t>Singleton</t>
  </si>
  <si>
    <t>Speyburn</t>
  </si>
  <si>
    <t>Springbank</t>
  </si>
  <si>
    <t>Springbank-Longrow</t>
  </si>
  <si>
    <t>Longrow</t>
  </si>
  <si>
    <t>Strathisla</t>
  </si>
  <si>
    <t>Talisker</t>
  </si>
  <si>
    <t>SKYE</t>
  </si>
  <si>
    <t>Tamdhu</t>
  </si>
  <si>
    <t>Tamnavulin</t>
  </si>
  <si>
    <t>Teaninich</t>
  </si>
  <si>
    <t>Tobermory</t>
  </si>
  <si>
    <t>MULL</t>
  </si>
  <si>
    <t>Tomatin</t>
  </si>
  <si>
    <t>Tomintoul</t>
  </si>
  <si>
    <t>Tormore</t>
  </si>
  <si>
    <t>Tullibardine</t>
  </si>
  <si>
    <t>perc</t>
  </si>
  <si>
    <t>Name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</si>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</sst>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9"/>
      <name val="Geneva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.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14"/>
  <sheetViews>
    <sheetView tabSelected="1" workbookViewId="0">
      <pane ySplit="6" topLeftCell="A7" activePane="bottomLeft" state="frozenSplit"/>
      <selection pane="bottomLeft" activeCell="A4" sqref="A4"/>
    </sheetView>
  </sheetViews>
  <sheetFormatPr baseColWidth="10" defaultRowHeight="12" x14ac:dyDescent="0.15"/>
  <cols>
    <col min="1" max="1" width="15.83203125" customWidth="1"/>
    <col min="3" max="3" width="5.83203125" customWidth="1"/>
    <col min="4" max="4" width="6.5" customWidth="1"/>
    <col min="5" max="5" width="6.33203125" customWidth="1"/>
    <col min="6" max="10" width="5.83203125" customWidth="1"/>
    <col min="11" max="11" width="6.6640625" customWidth="1"/>
    <col min="12" max="12" width="7.6640625" customWidth="1"/>
    <col min="13" max="13" width="5.83203125" customWidth="1"/>
    <col min="14" max="14" width="7.6640625" customWidth="1"/>
    <col min="15" max="15" width="5.83203125" customWidth="1"/>
    <col min="16" max="16" width="6.6640625" customWidth="1"/>
    <col min="17" max="17" width="6.83203125" style="3" customWidth="1"/>
    <col min="18" max="18" width="5.83203125" style="3" customWidth="1"/>
    <col min="19" max="19" width="6.33203125" style="3" customWidth="1"/>
    <col min="20" max="20" width="5.83203125" style="3" customWidth="1"/>
    <col min="21" max="21" width="6" style="3" customWidth="1"/>
    <col min="22" max="23" width="5.83203125" style="3" customWidth="1"/>
    <col min="24" max="24" width="6.33203125" style="3" customWidth="1"/>
    <col min="25" max="25" width="5.83203125" style="3" customWidth="1"/>
    <col min="26" max="26" width="7.33203125" style="3" customWidth="1"/>
    <col min="27" max="32" width="5.83203125" style="3" customWidth="1"/>
    <col min="33" max="33" width="7" style="3" customWidth="1"/>
    <col min="34" max="34" width="5.83203125" style="3" customWidth="1"/>
    <col min="35" max="35" width="5.83203125" customWidth="1"/>
    <col min="36" max="36" width="5.33203125" customWidth="1"/>
    <col min="37" max="38" width="5.83203125" customWidth="1"/>
    <col min="39" max="39" width="6.5" customWidth="1"/>
    <col min="40" max="41" width="5.83203125" customWidth="1"/>
    <col min="42" max="42" width="6.6640625" customWidth="1"/>
    <col min="43" max="50" width="5.83203125" customWidth="1"/>
    <col min="51" max="51" width="6.1640625" customWidth="1"/>
    <col min="52" max="56" width="4.83203125" style="3" customWidth="1"/>
    <col min="57" max="57" width="6.5" style="3" customWidth="1"/>
    <col min="58" max="60" width="4.83203125" style="3" customWidth="1"/>
    <col min="61" max="61" width="6" style="3" customWidth="1"/>
    <col min="62" max="62" width="5.6640625" style="3" customWidth="1"/>
    <col min="63" max="64" width="4.83203125" style="3" customWidth="1"/>
    <col min="65" max="65" width="4" style="3" customWidth="1"/>
    <col min="66" max="70" width="5.83203125" style="3" customWidth="1"/>
    <col min="71" max="71" width="4.6640625" style="3" customWidth="1"/>
    <col min="72" max="72" width="5.5" style="3" customWidth="1"/>
    <col min="73" max="73" width="6.5" style="3" customWidth="1"/>
    <col min="74" max="74" width="3.6640625" style="3" customWidth="1"/>
    <col min="75" max="75" width="7.5" style="3" customWidth="1"/>
    <col min="76" max="76" width="9" style="3" customWidth="1"/>
    <col min="77" max="83" width="8" customWidth="1"/>
    <col min="84" max="84" width="9" customWidth="1"/>
  </cols>
  <sheetData>
    <row r="1" spans="1:85" s="1" customFormat="1" x14ac:dyDescent="0.15"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/>
      <c r="BT1" s="2"/>
      <c r="BU1" s="2"/>
      <c r="BV1" s="2"/>
      <c r="BW1" s="2"/>
      <c r="BX1" s="2"/>
    </row>
    <row r="2" spans="1:85" s="1" customFormat="1" x14ac:dyDescent="0.15">
      <c r="A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1" t="s">
        <v>37</v>
      </c>
      <c r="AJ2" s="1" t="s">
        <v>38</v>
      </c>
      <c r="AK2" s="2" t="s">
        <v>33</v>
      </c>
      <c r="AL2" s="2" t="s">
        <v>39</v>
      </c>
      <c r="AM2" s="2" t="s">
        <v>18</v>
      </c>
      <c r="AN2" s="2" t="s">
        <v>40</v>
      </c>
      <c r="AO2" s="2" t="s">
        <v>36</v>
      </c>
      <c r="AP2" s="2" t="s">
        <v>35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1" t="s">
        <v>49</v>
      </c>
      <c r="AZ2" s="2" t="s">
        <v>33</v>
      </c>
      <c r="BA2" s="2" t="s">
        <v>39</v>
      </c>
      <c r="BB2" s="2" t="s">
        <v>50</v>
      </c>
      <c r="BC2" s="2" t="s">
        <v>40</v>
      </c>
      <c r="BD2" s="2" t="s">
        <v>36</v>
      </c>
      <c r="BE2" s="2" t="s">
        <v>35</v>
      </c>
      <c r="BF2" s="2" t="s">
        <v>41</v>
      </c>
      <c r="BG2" s="2" t="s">
        <v>42</v>
      </c>
      <c r="BH2" s="2" t="s">
        <v>43</v>
      </c>
      <c r="BI2" s="2" t="s">
        <v>44</v>
      </c>
      <c r="BJ2" s="2" t="s">
        <v>45</v>
      </c>
      <c r="BK2" s="2" t="s">
        <v>46</v>
      </c>
      <c r="BL2" s="2" t="s">
        <v>47</v>
      </c>
      <c r="BM2" s="2" t="s">
        <v>48</v>
      </c>
      <c r="BN2" s="1" t="s">
        <v>49</v>
      </c>
      <c r="BO2" s="2" t="s">
        <v>51</v>
      </c>
      <c r="BP2" s="2" t="s">
        <v>52</v>
      </c>
      <c r="BQ2" s="1" t="s">
        <v>53</v>
      </c>
      <c r="BR2" s="2" t="s">
        <v>54</v>
      </c>
      <c r="BS2" s="2" t="s">
        <v>55</v>
      </c>
      <c r="BT2" s="2" t="s">
        <v>56</v>
      </c>
      <c r="BU2" s="2" t="s">
        <v>57</v>
      </c>
      <c r="BV2" s="2" t="s">
        <v>198</v>
      </c>
      <c r="BW2" s="2" t="s">
        <v>58</v>
      </c>
      <c r="BX2" s="2" t="s">
        <v>59</v>
      </c>
      <c r="BY2" s="1" t="s">
        <v>60</v>
      </c>
      <c r="BZ2" s="1" t="s">
        <v>61</v>
      </c>
      <c r="CA2" s="1" t="s">
        <v>62</v>
      </c>
      <c r="CB2" s="1" t="s">
        <v>63</v>
      </c>
      <c r="CC2" s="1" t="s">
        <v>64</v>
      </c>
      <c r="CD2" s="1" t="s">
        <v>65</v>
      </c>
      <c r="CE2" s="1" t="s">
        <v>66</v>
      </c>
      <c r="CF2" s="1" t="s">
        <v>67</v>
      </c>
      <c r="CG2" s="1" t="s">
        <v>68</v>
      </c>
    </row>
    <row r="3" spans="1:85" s="1" customFormat="1" x14ac:dyDescent="0.15">
      <c r="A3" s="1" t="s">
        <v>200</v>
      </c>
      <c r="B3" s="1" t="s">
        <v>199</v>
      </c>
      <c r="C3" s="1" t="str">
        <f>CONCATENATE(C1,C2)</f>
        <v>wyne</v>
      </c>
      <c r="D3" s="1" t="str">
        <f t="shared" ref="D3:BO3" si="0">CONCATENATE(D1,D2)</f>
        <v>yellow</v>
      </c>
      <c r="E3" s="1" t="str">
        <f t="shared" si="0"/>
        <v>v.pale</v>
      </c>
      <c r="F3" s="1" t="str">
        <f t="shared" si="0"/>
        <v>pale</v>
      </c>
      <c r="G3" s="1" t="str">
        <f t="shared" si="0"/>
        <v>p.gold</v>
      </c>
      <c r="H3" s="1" t="str">
        <f t="shared" si="0"/>
        <v>gold</v>
      </c>
      <c r="I3" s="1" t="str">
        <f t="shared" si="0"/>
        <v>o.gold</v>
      </c>
      <c r="J3" s="1" t="str">
        <f t="shared" si="0"/>
        <v>f.gold</v>
      </c>
      <c r="K3" s="1" t="str">
        <f t="shared" si="0"/>
        <v>bronze</v>
      </c>
      <c r="L3" s="1" t="str">
        <f t="shared" si="0"/>
        <v>p.amber</v>
      </c>
      <c r="M3" s="1" t="str">
        <f t="shared" si="0"/>
        <v>amber</v>
      </c>
      <c r="N3" s="1" t="str">
        <f t="shared" si="0"/>
        <v>f.amber</v>
      </c>
      <c r="O3" s="1" t="str">
        <f t="shared" si="0"/>
        <v>red</v>
      </c>
      <c r="P3" s="1" t="str">
        <f t="shared" si="0"/>
        <v>sherry</v>
      </c>
      <c r="Q3" s="1" t="str">
        <f t="shared" si="0"/>
        <v>NOSEAROMA</v>
      </c>
      <c r="R3" s="1" t="str">
        <f t="shared" si="0"/>
        <v>NOSEPEAT</v>
      </c>
      <c r="S3" s="1" t="str">
        <f t="shared" si="0"/>
        <v>NOSESWEET</v>
      </c>
      <c r="T3" s="1" t="str">
        <f t="shared" si="0"/>
        <v>NOSELIGHT</v>
      </c>
      <c r="U3" s="1" t="str">
        <f t="shared" si="0"/>
        <v>NOSEFRESH</v>
      </c>
      <c r="V3" s="1" t="str">
        <f t="shared" si="0"/>
        <v>NOSEDRY</v>
      </c>
      <c r="W3" s="1" t="str">
        <f t="shared" si="0"/>
        <v>NOSEFRUIT</v>
      </c>
      <c r="X3" s="1" t="str">
        <f t="shared" si="0"/>
        <v>NOSEGRASS</v>
      </c>
      <c r="Y3" s="1" t="str">
        <f t="shared" si="0"/>
        <v>NOSESEA</v>
      </c>
      <c r="Z3" s="1" t="str">
        <f t="shared" si="0"/>
        <v>NOSESHERRY</v>
      </c>
      <c r="AA3" s="1" t="str">
        <f t="shared" si="0"/>
        <v>NOSESPICY</v>
      </c>
      <c r="AB3" s="1" t="str">
        <f t="shared" si="0"/>
        <v>NOSERICH</v>
      </c>
      <c r="AC3" s="1" t="str">
        <f t="shared" si="0"/>
        <v>BODYsoft</v>
      </c>
      <c r="AD3" s="1" t="str">
        <f t="shared" si="0"/>
        <v>BODYmed</v>
      </c>
      <c r="AE3" s="1" t="str">
        <f t="shared" si="0"/>
        <v>BODYfull</v>
      </c>
      <c r="AF3" s="1" t="str">
        <f t="shared" si="0"/>
        <v>BODYround</v>
      </c>
      <c r="AG3" s="1" t="str">
        <f t="shared" si="0"/>
        <v>BODYsmooth</v>
      </c>
      <c r="AH3" s="1" t="str">
        <f t="shared" si="0"/>
        <v>BODYlight</v>
      </c>
      <c r="AI3" s="1" t="str">
        <f t="shared" si="0"/>
        <v>BODYfirm</v>
      </c>
      <c r="AJ3" s="1" t="str">
        <f t="shared" si="0"/>
        <v>BODYoily</v>
      </c>
      <c r="AK3" s="1" t="str">
        <f t="shared" si="0"/>
        <v>PALfull</v>
      </c>
      <c r="AL3" s="1" t="str">
        <f t="shared" si="0"/>
        <v>PALdry</v>
      </c>
      <c r="AM3" s="1" t="str">
        <f t="shared" si="0"/>
        <v>PALsherry</v>
      </c>
      <c r="AN3" s="1" t="str">
        <f t="shared" si="0"/>
        <v>PALbig</v>
      </c>
      <c r="AO3" s="1" t="str">
        <f t="shared" si="0"/>
        <v>PALlight</v>
      </c>
      <c r="AP3" s="1" t="str">
        <f t="shared" si="0"/>
        <v>PALsmooth</v>
      </c>
      <c r="AQ3" s="1" t="str">
        <f t="shared" si="0"/>
        <v>PALclean</v>
      </c>
      <c r="AR3" s="1" t="str">
        <f t="shared" si="0"/>
        <v>PALfruit</v>
      </c>
      <c r="AS3" s="1" t="str">
        <f t="shared" si="0"/>
        <v>PALgrass</v>
      </c>
      <c r="AT3" s="1" t="str">
        <f t="shared" si="0"/>
        <v>PALsmoke</v>
      </c>
      <c r="AU3" s="1" t="str">
        <f t="shared" si="0"/>
        <v>PALsweet</v>
      </c>
      <c r="AV3" s="1" t="str">
        <f t="shared" si="0"/>
        <v>PALspice</v>
      </c>
      <c r="AW3" s="1" t="str">
        <f t="shared" si="0"/>
        <v>PALoil</v>
      </c>
      <c r="AX3" s="1" t="str">
        <f t="shared" si="0"/>
        <v>PALsalt</v>
      </c>
      <c r="AY3" s="1" t="str">
        <f t="shared" si="0"/>
        <v>PALarome</v>
      </c>
      <c r="AZ3" s="1" t="str">
        <f t="shared" si="0"/>
        <v>FINfull</v>
      </c>
      <c r="BA3" s="1" t="str">
        <f t="shared" si="0"/>
        <v>FINdry</v>
      </c>
      <c r="BB3" s="1" t="str">
        <f t="shared" si="0"/>
        <v>FINwarm</v>
      </c>
      <c r="BC3" s="1" t="str">
        <f t="shared" si="0"/>
        <v>FINbig</v>
      </c>
      <c r="BD3" s="1" t="str">
        <f t="shared" si="0"/>
        <v>FINlight</v>
      </c>
      <c r="BE3" s="1" t="str">
        <f t="shared" si="0"/>
        <v>FINsmooth</v>
      </c>
      <c r="BF3" s="1" t="str">
        <f t="shared" si="0"/>
        <v>FINclean</v>
      </c>
      <c r="BG3" s="1" t="str">
        <f t="shared" si="0"/>
        <v>FINfruit</v>
      </c>
      <c r="BH3" s="1" t="str">
        <f t="shared" si="0"/>
        <v>FINgrass</v>
      </c>
      <c r="BI3" s="1" t="str">
        <f t="shared" si="0"/>
        <v>FINsmoke</v>
      </c>
      <c r="BJ3" s="1" t="str">
        <f t="shared" si="0"/>
        <v>FINsweet</v>
      </c>
      <c r="BK3" s="1" t="str">
        <f t="shared" si="0"/>
        <v>FINspice</v>
      </c>
      <c r="BL3" s="1" t="str">
        <f t="shared" si="0"/>
        <v>FINoil</v>
      </c>
      <c r="BM3" s="1" t="str">
        <f t="shared" si="0"/>
        <v>FINsalt</v>
      </c>
      <c r="BN3" s="1" t="str">
        <f t="shared" si="0"/>
        <v>FINarome</v>
      </c>
      <c r="BO3" s="1" t="str">
        <f t="shared" si="0"/>
        <v>FINling</v>
      </c>
      <c r="BP3" s="1" t="str">
        <f t="shared" ref="BP3:CG3" si="1">CONCATENATE(BP1,BP2)</f>
        <v>FINlong</v>
      </c>
      <c r="BQ3" s="1" t="str">
        <f t="shared" si="1"/>
        <v>FINvery</v>
      </c>
      <c r="BR3" s="1" t="str">
        <f t="shared" si="1"/>
        <v>FINquick</v>
      </c>
      <c r="BS3" s="1" t="str">
        <f t="shared" si="1"/>
        <v>AGE</v>
      </c>
      <c r="BT3" s="1" t="str">
        <f t="shared" si="1"/>
        <v>DIST</v>
      </c>
      <c r="BU3" s="1" t="str">
        <f t="shared" si="1"/>
        <v>SCORE</v>
      </c>
      <c r="BV3" s="1" t="str">
        <f t="shared" si="1"/>
        <v>perc</v>
      </c>
      <c r="BW3" s="1" t="str">
        <f t="shared" si="1"/>
        <v>REGION</v>
      </c>
      <c r="BX3" s="1" t="str">
        <f t="shared" si="1"/>
        <v>DISTRICT</v>
      </c>
      <c r="BY3" s="1" t="str">
        <f t="shared" si="1"/>
        <v>islay</v>
      </c>
      <c r="BZ3" s="1" t="str">
        <f t="shared" si="1"/>
        <v>midland</v>
      </c>
      <c r="CA3" s="1" t="str">
        <f t="shared" si="1"/>
        <v>spey</v>
      </c>
      <c r="CB3" s="1" t="str">
        <f t="shared" si="1"/>
        <v>east</v>
      </c>
      <c r="CC3" s="1" t="str">
        <f t="shared" si="1"/>
        <v>west</v>
      </c>
      <c r="CD3" s="1" t="str">
        <f t="shared" si="1"/>
        <v xml:space="preserve">north </v>
      </c>
      <c r="CE3" s="1" t="str">
        <f t="shared" si="1"/>
        <v>lowland</v>
      </c>
      <c r="CF3" s="1" t="str">
        <f t="shared" si="1"/>
        <v>campbell</v>
      </c>
      <c r="CG3" s="1" t="str">
        <f t="shared" si="1"/>
        <v>islands</v>
      </c>
    </row>
    <row r="4" spans="1:85" x14ac:dyDescent="0.15">
      <c r="A4" t="s">
        <v>69</v>
      </c>
      <c r="B4" t="str">
        <f>LEFT(A4,10)</f>
        <v>Aberfeldy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3">
        <v>1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1</v>
      </c>
      <c r="BA4" s="3">
        <v>1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1</v>
      </c>
      <c r="BH4" s="3">
        <v>0</v>
      </c>
      <c r="BI4" s="3">
        <v>0</v>
      </c>
      <c r="BJ4" s="3">
        <v>0</v>
      </c>
      <c r="BK4" s="3">
        <v>1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-9</v>
      </c>
      <c r="BT4" s="3">
        <v>2</v>
      </c>
      <c r="BU4" s="3">
        <v>69</v>
      </c>
      <c r="BV4" s="3">
        <v>40</v>
      </c>
      <c r="BW4" s="3" t="s">
        <v>70</v>
      </c>
      <c r="BX4" s="3" t="s">
        <v>71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15">
      <c r="A5" t="s">
        <v>72</v>
      </c>
      <c r="B5" t="str">
        <f>LEFT(A5,10)</f>
        <v>Aberlour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 s="3">
        <v>0</v>
      </c>
      <c r="R5" s="3">
        <v>0</v>
      </c>
      <c r="S5" s="3">
        <v>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0</v>
      </c>
      <c r="AI5" s="3">
        <v>0</v>
      </c>
      <c r="AJ5" s="3">
        <v>0</v>
      </c>
      <c r="AK5" s="3">
        <v>1</v>
      </c>
      <c r="AL5" s="3">
        <v>0</v>
      </c>
      <c r="AM5" s="3">
        <v>1</v>
      </c>
      <c r="AN5" s="3">
        <v>0</v>
      </c>
      <c r="AO5" s="3">
        <v>0</v>
      </c>
      <c r="AP5" s="3">
        <v>0</v>
      </c>
      <c r="AQ5" s="3">
        <v>0</v>
      </c>
      <c r="AR5" s="3">
        <v>1</v>
      </c>
      <c r="AS5" s="3">
        <v>0</v>
      </c>
      <c r="AT5" s="3">
        <v>0</v>
      </c>
      <c r="AU5" s="3">
        <v>1</v>
      </c>
      <c r="AV5" s="3">
        <v>1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1</v>
      </c>
      <c r="BP5" s="3">
        <v>0</v>
      </c>
      <c r="BQ5" s="3">
        <v>0</v>
      </c>
      <c r="BR5" s="3">
        <v>0</v>
      </c>
      <c r="BS5" s="3">
        <v>12</v>
      </c>
      <c r="BT5" s="3">
        <v>4</v>
      </c>
      <c r="BU5" s="3">
        <v>83</v>
      </c>
      <c r="BV5" s="3">
        <v>43</v>
      </c>
      <c r="BW5" s="3" t="s">
        <v>70</v>
      </c>
      <c r="BX5" s="3" t="s">
        <v>73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15">
      <c r="A6" t="s">
        <v>74</v>
      </c>
      <c r="B6" t="str">
        <f>LEFT(A6,10)</f>
        <v>Ardberg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1</v>
      </c>
      <c r="AF6" s="3">
        <v>0</v>
      </c>
      <c r="AG6" s="3">
        <v>0</v>
      </c>
      <c r="AH6" s="3">
        <v>1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1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1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10</v>
      </c>
      <c r="BT6" s="3">
        <v>4</v>
      </c>
      <c r="BU6" s="3">
        <v>85</v>
      </c>
      <c r="BV6" s="3">
        <v>40</v>
      </c>
      <c r="BW6" s="3" t="s">
        <v>75</v>
      </c>
      <c r="BX6" s="3" t="s">
        <v>76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15">
      <c r="A7" t="s">
        <v>77</v>
      </c>
      <c r="B7" t="str">
        <f>LEFT(A7,10)</f>
        <v>Ardmore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1</v>
      </c>
      <c r="AA7" s="3">
        <v>0</v>
      </c>
      <c r="AB7" s="3">
        <v>0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</v>
      </c>
      <c r="AO7" s="3">
        <v>0</v>
      </c>
      <c r="AP7" s="3">
        <v>0</v>
      </c>
      <c r="AQ7" s="3">
        <v>0</v>
      </c>
      <c r="AR7" s="3">
        <v>0</v>
      </c>
      <c r="AS7" s="3">
        <v>1</v>
      </c>
      <c r="AT7" s="3">
        <v>0</v>
      </c>
      <c r="AU7" s="3">
        <v>1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18</v>
      </c>
      <c r="BT7" s="3">
        <v>2</v>
      </c>
      <c r="BU7" s="3">
        <v>66</v>
      </c>
      <c r="BV7" s="3">
        <v>46</v>
      </c>
      <c r="BW7" s="3" t="s">
        <v>70</v>
      </c>
      <c r="BX7" s="3" t="s">
        <v>73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15">
      <c r="A8" t="s">
        <v>78</v>
      </c>
      <c r="B8" t="str">
        <f>LEFT(A8,10)</f>
        <v>Auchentosh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1</v>
      </c>
      <c r="AP8" s="3">
        <v>0</v>
      </c>
      <c r="AQ8" s="3">
        <v>0</v>
      </c>
      <c r="AR8" s="3">
        <v>1</v>
      </c>
      <c r="AS8" s="3">
        <v>1</v>
      </c>
      <c r="AT8" s="3">
        <v>0</v>
      </c>
      <c r="AU8" s="3">
        <v>1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1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10</v>
      </c>
      <c r="BT8" s="3">
        <v>5</v>
      </c>
      <c r="BU8" s="3">
        <v>85</v>
      </c>
      <c r="BV8" s="3">
        <v>40</v>
      </c>
      <c r="BW8" s="3" t="s">
        <v>79</v>
      </c>
      <c r="BX8" s="3" t="s">
        <v>80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</row>
    <row r="9" spans="1:85" x14ac:dyDescent="0.15">
      <c r="A9" t="s">
        <v>81</v>
      </c>
      <c r="B9" t="str">
        <f>LEFT(A9,10)</f>
        <v>Aultmore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3">
        <v>1</v>
      </c>
      <c r="R9" s="3">
        <v>0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1</v>
      </c>
      <c r="AP9" s="3">
        <v>0</v>
      </c>
      <c r="AQ9" s="3">
        <v>0</v>
      </c>
      <c r="AR9" s="3">
        <v>1</v>
      </c>
      <c r="AS9" s="3">
        <v>0</v>
      </c>
      <c r="AT9" s="3">
        <v>0</v>
      </c>
      <c r="AU9" s="3">
        <v>0</v>
      </c>
      <c r="AV9" s="3">
        <v>1</v>
      </c>
      <c r="AW9" s="3">
        <v>0</v>
      </c>
      <c r="AX9" s="3">
        <v>0</v>
      </c>
      <c r="AY9" s="3">
        <v>0</v>
      </c>
      <c r="AZ9" s="3">
        <v>0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12</v>
      </c>
      <c r="BT9" s="3">
        <v>3</v>
      </c>
      <c r="BU9" s="3">
        <v>75</v>
      </c>
      <c r="BV9" s="3">
        <v>40</v>
      </c>
      <c r="BW9" s="3" t="s">
        <v>70</v>
      </c>
      <c r="BX9" s="3" t="s">
        <v>73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15">
      <c r="A10" t="s">
        <v>82</v>
      </c>
      <c r="B10" t="str">
        <f>LEFT(A10,10)</f>
        <v>Balblair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</v>
      </c>
      <c r="AS10" s="3">
        <v>0</v>
      </c>
      <c r="AT10" s="3">
        <v>0</v>
      </c>
      <c r="AU10" s="3">
        <v>1</v>
      </c>
      <c r="AV10" s="3">
        <v>1</v>
      </c>
      <c r="AW10" s="3">
        <v>0</v>
      </c>
      <c r="AX10" s="3">
        <v>0</v>
      </c>
      <c r="AY10" s="3">
        <v>0</v>
      </c>
      <c r="AZ10" s="3">
        <v>0</v>
      </c>
      <c r="BA10" s="3">
        <v>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1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1</v>
      </c>
      <c r="BP10" s="3">
        <v>0</v>
      </c>
      <c r="BQ10" s="3">
        <v>0</v>
      </c>
      <c r="BR10" s="3">
        <v>0</v>
      </c>
      <c r="BS10" s="3">
        <v>10</v>
      </c>
      <c r="BT10" s="3">
        <v>3</v>
      </c>
      <c r="BU10" s="3">
        <v>76</v>
      </c>
      <c r="BV10" s="3">
        <v>40</v>
      </c>
      <c r="BW10" s="3" t="s">
        <v>70</v>
      </c>
      <c r="BX10" s="3" t="s">
        <v>83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</row>
    <row r="11" spans="1:85" x14ac:dyDescent="0.15">
      <c r="A11" t="s">
        <v>84</v>
      </c>
      <c r="B11" t="str">
        <f>LEFT(A11,10)</f>
        <v>Balmenach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3">
        <v>1</v>
      </c>
      <c r="R11" s="3">
        <v>1</v>
      </c>
      <c r="S11" s="3">
        <v>1</v>
      </c>
      <c r="T11" s="3">
        <v>0</v>
      </c>
      <c r="U11" s="3">
        <v>0</v>
      </c>
      <c r="V11" s="3">
        <v>0</v>
      </c>
      <c r="W11" s="3">
        <v>1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0</v>
      </c>
      <c r="AF11" s="3">
        <v>0</v>
      </c>
      <c r="AG11" s="3">
        <v>1</v>
      </c>
      <c r="AH11" s="3">
        <v>1</v>
      </c>
      <c r="AI11" s="3">
        <v>0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1</v>
      </c>
      <c r="BQ11" s="3">
        <v>0</v>
      </c>
      <c r="BR11" s="3">
        <v>0</v>
      </c>
      <c r="BS11" s="3">
        <v>-9</v>
      </c>
      <c r="BT11" s="3">
        <v>3</v>
      </c>
      <c r="BU11" s="3">
        <v>69</v>
      </c>
      <c r="BV11" s="3">
        <v>40</v>
      </c>
      <c r="BW11" s="3" t="s">
        <v>70</v>
      </c>
      <c r="BX11" s="3" t="s">
        <v>73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15">
      <c r="A12" t="s">
        <v>85</v>
      </c>
      <c r="B12" t="str">
        <f>LEFT(A12,10)</f>
        <v>Balvenie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1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1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1</v>
      </c>
      <c r="BM12" s="3">
        <v>0</v>
      </c>
      <c r="BN12" s="3">
        <v>0</v>
      </c>
      <c r="BO12" s="3">
        <v>1</v>
      </c>
      <c r="BP12" s="3">
        <v>0</v>
      </c>
      <c r="BQ12" s="3">
        <v>0</v>
      </c>
      <c r="BR12" s="3">
        <v>0</v>
      </c>
      <c r="BS12" s="3">
        <v>-9</v>
      </c>
      <c r="BT12" s="3">
        <v>4</v>
      </c>
      <c r="BU12" s="3">
        <v>85</v>
      </c>
      <c r="BV12" s="3">
        <v>40</v>
      </c>
      <c r="BW12" s="3" t="s">
        <v>70</v>
      </c>
      <c r="BX12" s="3" t="s">
        <v>73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15">
      <c r="A13" t="s">
        <v>86</v>
      </c>
      <c r="B13" t="str">
        <f>LEFT(A13,10)</f>
        <v>Banff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3">
        <v>1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1</v>
      </c>
      <c r="AU13" s="3">
        <v>1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</v>
      </c>
      <c r="BG13" s="3">
        <v>0</v>
      </c>
      <c r="BH13" s="3">
        <v>0</v>
      </c>
      <c r="BI13" s="3">
        <v>0</v>
      </c>
      <c r="BJ13" s="3">
        <v>0</v>
      </c>
      <c r="BK13" s="3">
        <v>1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-9</v>
      </c>
      <c r="BT13" s="3">
        <v>2</v>
      </c>
      <c r="BU13" s="3">
        <v>66</v>
      </c>
      <c r="BV13" s="3">
        <v>40</v>
      </c>
      <c r="BW13" s="3" t="s">
        <v>70</v>
      </c>
      <c r="BX13" s="3" t="s">
        <v>73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15">
      <c r="A14" t="s">
        <v>87</v>
      </c>
      <c r="B14" t="str">
        <f>LEFT(A14,10)</f>
        <v>Ben Nevis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1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1</v>
      </c>
      <c r="AS14" s="3">
        <v>0</v>
      </c>
      <c r="AT14" s="3">
        <v>0</v>
      </c>
      <c r="AU14" s="3">
        <v>1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-9</v>
      </c>
      <c r="BT14" s="3">
        <v>1</v>
      </c>
      <c r="BU14" s="3">
        <v>55</v>
      </c>
      <c r="BV14" s="3">
        <v>40</v>
      </c>
      <c r="BW14" s="3" t="s">
        <v>70</v>
      </c>
      <c r="BX14" s="3" t="s">
        <v>80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</row>
    <row r="15" spans="1:85" x14ac:dyDescent="0.15">
      <c r="A15" t="s">
        <v>88</v>
      </c>
      <c r="B15" t="str">
        <f>LEFT(A15,10)</f>
        <v>Benriach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1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1</v>
      </c>
      <c r="BB15" s="3">
        <v>1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1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-9</v>
      </c>
      <c r="BT15" s="3">
        <v>3</v>
      </c>
      <c r="BU15" s="3">
        <v>69</v>
      </c>
      <c r="BV15" s="3">
        <v>40</v>
      </c>
      <c r="BW15" s="3" t="s">
        <v>70</v>
      </c>
      <c r="BX15" s="3" t="s">
        <v>73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15">
      <c r="A16" t="s">
        <v>89</v>
      </c>
      <c r="B16" t="str">
        <f>LEFT(A16,10)</f>
        <v>Benrinnes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 s="3">
        <v>1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</v>
      </c>
      <c r="AE16" s="3">
        <v>0</v>
      </c>
      <c r="AF16" s="3">
        <v>1</v>
      </c>
      <c r="AG16" s="3">
        <v>1</v>
      </c>
      <c r="AH16" s="3">
        <v>0</v>
      </c>
      <c r="AI16" s="3">
        <v>1</v>
      </c>
      <c r="AJ16" s="3">
        <v>0</v>
      </c>
      <c r="AK16" s="3">
        <v>1</v>
      </c>
      <c r="AL16" s="3">
        <v>1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1</v>
      </c>
      <c r="BB16" s="3">
        <v>0</v>
      </c>
      <c r="BC16" s="3">
        <v>1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1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-9</v>
      </c>
      <c r="BT16" s="3">
        <v>3</v>
      </c>
      <c r="BU16" s="3">
        <v>78</v>
      </c>
      <c r="BV16" s="3">
        <v>40</v>
      </c>
      <c r="BW16" s="3" t="s">
        <v>70</v>
      </c>
      <c r="BX16" s="3" t="s">
        <v>73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15">
      <c r="A17" t="s">
        <v>90</v>
      </c>
      <c r="B17" t="str">
        <f>LEFT(A17,10)</f>
        <v>Benromach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 s="3">
        <v>1</v>
      </c>
      <c r="R17" s="3">
        <v>1</v>
      </c>
      <c r="S17" s="3">
        <v>0</v>
      </c>
      <c r="T17" s="3">
        <v>0</v>
      </c>
      <c r="U17" s="3">
        <v>0</v>
      </c>
      <c r="V17" s="3">
        <v>1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1</v>
      </c>
      <c r="AL17" s="3">
        <v>0</v>
      </c>
      <c r="AM17" s="3">
        <v>0</v>
      </c>
      <c r="AN17" s="3">
        <v>0</v>
      </c>
      <c r="AO17" s="3">
        <v>1</v>
      </c>
      <c r="AP17" s="3">
        <v>1</v>
      </c>
      <c r="AQ17" s="3">
        <v>0</v>
      </c>
      <c r="AR17" s="3">
        <v>1</v>
      </c>
      <c r="AS17" s="3">
        <v>1</v>
      </c>
      <c r="AT17" s="3">
        <v>1</v>
      </c>
      <c r="AU17" s="3">
        <v>1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1</v>
      </c>
      <c r="BH17" s="3">
        <v>0</v>
      </c>
      <c r="BI17" s="3">
        <v>1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-9</v>
      </c>
      <c r="BT17" s="3">
        <v>3</v>
      </c>
      <c r="BU17" s="3">
        <v>75</v>
      </c>
      <c r="BV17" s="3">
        <v>40</v>
      </c>
      <c r="BW17" s="3" t="s">
        <v>70</v>
      </c>
      <c r="BX17" s="3" t="s">
        <v>73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15">
      <c r="A18" t="s">
        <v>91</v>
      </c>
      <c r="B18" t="str">
        <f>LEFT(A18,10)</f>
        <v>Bladnoch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3">
        <v>1</v>
      </c>
      <c r="AJ18" s="3">
        <v>0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1</v>
      </c>
      <c r="BD18" s="3">
        <v>1</v>
      </c>
      <c r="BE18" s="3">
        <v>0</v>
      </c>
      <c r="BF18" s="3">
        <v>0</v>
      </c>
      <c r="BG18" s="3">
        <v>1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8</v>
      </c>
      <c r="BT18" s="3">
        <v>4</v>
      </c>
      <c r="BU18" s="3">
        <v>85</v>
      </c>
      <c r="BV18" s="3">
        <v>40</v>
      </c>
      <c r="BW18" s="3" t="s">
        <v>92</v>
      </c>
      <c r="BX18" s="3" t="s">
        <v>93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</row>
    <row r="19" spans="1:85" x14ac:dyDescent="0.15">
      <c r="A19" t="s">
        <v>94</v>
      </c>
      <c r="B19" t="str">
        <f>LEFT(A19,10)</f>
        <v>Blair Atho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3">
        <v>0</v>
      </c>
      <c r="R19" s="3">
        <v>0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1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>
        <v>1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1</v>
      </c>
      <c r="AV19" s="3">
        <v>1</v>
      </c>
      <c r="AW19" s="3">
        <v>0</v>
      </c>
      <c r="AX19" s="3">
        <v>0</v>
      </c>
      <c r="AY19" s="3">
        <v>1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1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1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8</v>
      </c>
      <c r="BT19" s="3">
        <v>3</v>
      </c>
      <c r="BU19" s="3">
        <v>75</v>
      </c>
      <c r="BV19" s="3">
        <v>40</v>
      </c>
      <c r="BW19" s="3" t="s">
        <v>70</v>
      </c>
      <c r="BX19" s="3" t="s">
        <v>71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15">
      <c r="A20" t="s">
        <v>95</v>
      </c>
      <c r="B20" t="str">
        <f>LEFT(A20,10)</f>
        <v>Bowmore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1</v>
      </c>
      <c r="W20" s="3">
        <v>0</v>
      </c>
      <c r="X20" s="3">
        <v>1</v>
      </c>
      <c r="Y20" s="3">
        <v>1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1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1</v>
      </c>
      <c r="BN20" s="3">
        <v>0</v>
      </c>
      <c r="BO20" s="3">
        <v>0</v>
      </c>
      <c r="BP20" s="3">
        <v>0</v>
      </c>
      <c r="BQ20" s="3">
        <v>0</v>
      </c>
      <c r="BR20" s="3">
        <v>1</v>
      </c>
      <c r="BS20" s="3">
        <v>10</v>
      </c>
      <c r="BT20" s="3">
        <v>4</v>
      </c>
      <c r="BU20" s="3">
        <v>81</v>
      </c>
      <c r="BV20" s="3">
        <v>40</v>
      </c>
      <c r="BW20" s="3" t="s">
        <v>75</v>
      </c>
      <c r="BX20" s="3" t="s">
        <v>96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15">
      <c r="A21" t="s">
        <v>97</v>
      </c>
      <c r="B21" t="str">
        <f>LEFT(A21,10)</f>
        <v>Brackla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3">
        <v>0</v>
      </c>
      <c r="R21" s="3">
        <v>1</v>
      </c>
      <c r="S21" s="3">
        <v>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1</v>
      </c>
      <c r="AE21" s="3">
        <v>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1</v>
      </c>
      <c r="AQ21" s="3">
        <v>0</v>
      </c>
      <c r="AR21" s="3">
        <v>1</v>
      </c>
      <c r="AS21" s="3">
        <v>0</v>
      </c>
      <c r="AT21" s="3">
        <v>0</v>
      </c>
      <c r="AU21" s="3">
        <v>1</v>
      </c>
      <c r="AV21" s="3">
        <v>0</v>
      </c>
      <c r="AW21" s="3">
        <v>0</v>
      </c>
      <c r="AX21" s="3">
        <v>0</v>
      </c>
      <c r="AY21" s="3">
        <v>1</v>
      </c>
      <c r="AZ21" s="3">
        <v>0</v>
      </c>
      <c r="BA21" s="3">
        <v>1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1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-9</v>
      </c>
      <c r="BT21" s="3">
        <v>3</v>
      </c>
      <c r="BU21" s="3">
        <v>77</v>
      </c>
      <c r="BV21" s="3">
        <v>40</v>
      </c>
      <c r="BW21" s="3" t="s">
        <v>70</v>
      </c>
      <c r="BX21" s="3" t="s">
        <v>73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15">
      <c r="A22" t="s">
        <v>98</v>
      </c>
      <c r="B22" t="str">
        <f>LEFT(A22,10)</f>
        <v>Bruichladd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3">
        <v>0</v>
      </c>
      <c r="R22" s="3">
        <v>0</v>
      </c>
      <c r="S22" s="3">
        <v>0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1</v>
      </c>
      <c r="AI22" s="3">
        <v>1</v>
      </c>
      <c r="AJ22" s="3">
        <v>0</v>
      </c>
      <c r="AK22" s="3">
        <v>0</v>
      </c>
      <c r="AL22" s="3">
        <v>1</v>
      </c>
      <c r="AM22" s="3">
        <v>0</v>
      </c>
      <c r="AN22" s="3">
        <v>0</v>
      </c>
      <c r="AO22" s="3">
        <v>0</v>
      </c>
      <c r="AP22" s="3">
        <v>0</v>
      </c>
      <c r="AQ22" s="3">
        <v>1</v>
      </c>
      <c r="AR22" s="3">
        <v>0</v>
      </c>
      <c r="AS22" s="3">
        <v>0</v>
      </c>
      <c r="AT22" s="3">
        <v>1</v>
      </c>
      <c r="AU22" s="3">
        <v>1</v>
      </c>
      <c r="AV22" s="3">
        <v>0</v>
      </c>
      <c r="AW22" s="3">
        <v>0</v>
      </c>
      <c r="AX22" s="3">
        <v>0</v>
      </c>
      <c r="AY22" s="3">
        <v>0</v>
      </c>
      <c r="AZ22" s="3">
        <v>1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10</v>
      </c>
      <c r="BT22" s="3">
        <v>3</v>
      </c>
      <c r="BU22" s="3">
        <v>76</v>
      </c>
      <c r="BV22" s="3">
        <v>40</v>
      </c>
      <c r="BW22" s="3" t="s">
        <v>75</v>
      </c>
      <c r="BX22" s="3" t="s">
        <v>96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15">
      <c r="A23" t="s">
        <v>99</v>
      </c>
      <c r="B23" t="str">
        <f>LEFT(A23,10)</f>
        <v>Bunnahabha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3">
        <v>0</v>
      </c>
      <c r="R23" s="3">
        <v>0</v>
      </c>
      <c r="S23" s="3">
        <v>0</v>
      </c>
      <c r="T23" s="3">
        <v>0</v>
      </c>
      <c r="U23" s="3">
        <v>1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0</v>
      </c>
      <c r="AB23" s="3">
        <v>0</v>
      </c>
      <c r="AC23" s="3">
        <v>0</v>
      </c>
      <c r="AD23" s="3">
        <v>1</v>
      </c>
      <c r="AE23" s="3">
        <v>0</v>
      </c>
      <c r="AF23" s="3">
        <v>0</v>
      </c>
      <c r="AG23" s="3">
        <v>0</v>
      </c>
      <c r="AH23" s="3">
        <v>1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1</v>
      </c>
      <c r="AR23" s="3">
        <v>1</v>
      </c>
      <c r="AS23" s="3">
        <v>0</v>
      </c>
      <c r="AT23" s="3">
        <v>0</v>
      </c>
      <c r="AU23" s="3">
        <v>1</v>
      </c>
      <c r="AV23" s="3">
        <v>0</v>
      </c>
      <c r="AW23" s="3">
        <v>0</v>
      </c>
      <c r="AX23" s="3">
        <v>0</v>
      </c>
      <c r="AY23" s="3">
        <v>0</v>
      </c>
      <c r="AZ23" s="3">
        <v>1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12</v>
      </c>
      <c r="BT23" s="3">
        <v>3</v>
      </c>
      <c r="BU23" s="3">
        <v>77</v>
      </c>
      <c r="BV23" s="3">
        <v>40</v>
      </c>
      <c r="BW23" s="3" t="s">
        <v>75</v>
      </c>
      <c r="BX23" s="3" t="s">
        <v>83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15">
      <c r="A24" t="s">
        <v>100</v>
      </c>
      <c r="B24" t="str">
        <f>LEFT(A24,10)</f>
        <v>Caol Ila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1</v>
      </c>
      <c r="AJ24" s="3">
        <v>1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1</v>
      </c>
      <c r="AU24" s="3">
        <v>0</v>
      </c>
      <c r="AV24" s="3">
        <v>1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1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1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12</v>
      </c>
      <c r="BT24" s="3">
        <v>4</v>
      </c>
      <c r="BU24" s="3">
        <v>77</v>
      </c>
      <c r="BV24" s="3">
        <v>40</v>
      </c>
      <c r="BW24" s="3" t="s">
        <v>75</v>
      </c>
      <c r="BX24" s="3" t="s">
        <v>83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15">
      <c r="A25" t="s">
        <v>101</v>
      </c>
      <c r="B25" t="str">
        <f>LEFT(A25,10)</f>
        <v>Caperdonic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3">
        <v>1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1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3">
        <v>0</v>
      </c>
      <c r="AT25" s="3">
        <v>0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1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1</v>
      </c>
      <c r="BP25" s="3">
        <v>0</v>
      </c>
      <c r="BQ25" s="3">
        <v>0</v>
      </c>
      <c r="BR25" s="3">
        <v>0</v>
      </c>
      <c r="BS25" s="3">
        <v>-9</v>
      </c>
      <c r="BT25" s="3">
        <v>3</v>
      </c>
      <c r="BU25" s="3">
        <v>73</v>
      </c>
      <c r="BV25" s="3">
        <v>40</v>
      </c>
      <c r="BW25" s="3" t="s">
        <v>70</v>
      </c>
      <c r="BX25" s="3" t="s">
        <v>73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15">
      <c r="A26" t="s">
        <v>102</v>
      </c>
      <c r="B26" t="str">
        <f>LEFT(A26,10)</f>
        <v>Cardhu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3">
        <v>1</v>
      </c>
      <c r="R26" s="3">
        <v>1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1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1</v>
      </c>
      <c r="BJ26" s="3">
        <v>1</v>
      </c>
      <c r="BK26" s="3">
        <v>0</v>
      </c>
      <c r="BL26" s="3">
        <v>1</v>
      </c>
      <c r="BM26" s="3">
        <v>0</v>
      </c>
      <c r="BN26" s="3">
        <v>0</v>
      </c>
      <c r="BO26" s="3">
        <v>1</v>
      </c>
      <c r="BP26" s="3">
        <v>0</v>
      </c>
      <c r="BQ26" s="3">
        <v>0</v>
      </c>
      <c r="BR26" s="3">
        <v>0</v>
      </c>
      <c r="BS26" s="3">
        <v>12</v>
      </c>
      <c r="BT26" s="3">
        <v>3</v>
      </c>
      <c r="BU26" s="3">
        <v>72</v>
      </c>
      <c r="BV26" s="3">
        <v>40</v>
      </c>
      <c r="BW26" s="3" t="s">
        <v>70</v>
      </c>
      <c r="BX26" s="3" t="s">
        <v>73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15">
      <c r="A27" t="s">
        <v>103</v>
      </c>
      <c r="B27" t="str">
        <f>LEFT(A27,10)</f>
        <v>Clynelish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1</v>
      </c>
      <c r="AF27" s="3">
        <v>0</v>
      </c>
      <c r="AG27" s="3">
        <v>0</v>
      </c>
      <c r="AH27" s="3">
        <v>0</v>
      </c>
      <c r="AI27" s="3">
        <v>0</v>
      </c>
      <c r="AJ27" s="3">
        <v>1</v>
      </c>
      <c r="AK27" s="3">
        <v>1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1</v>
      </c>
      <c r="AT27" s="3">
        <v>0</v>
      </c>
      <c r="AU27" s="3">
        <v>1</v>
      </c>
      <c r="AV27" s="3">
        <v>1</v>
      </c>
      <c r="AW27" s="3">
        <v>0</v>
      </c>
      <c r="AX27" s="3">
        <v>1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0</v>
      </c>
      <c r="BO27" s="3">
        <v>1</v>
      </c>
      <c r="BP27" s="3">
        <v>0</v>
      </c>
      <c r="BQ27" s="3">
        <v>0</v>
      </c>
      <c r="BR27" s="3">
        <v>0</v>
      </c>
      <c r="BS27" s="3">
        <v>12</v>
      </c>
      <c r="BT27" s="3">
        <v>4</v>
      </c>
      <c r="BU27" s="3">
        <v>81</v>
      </c>
      <c r="BV27" s="3">
        <v>40</v>
      </c>
      <c r="BW27" s="3" t="s">
        <v>70</v>
      </c>
      <c r="BX27" s="3" t="s">
        <v>83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</row>
    <row r="28" spans="1:85" x14ac:dyDescent="0.15">
      <c r="A28" t="s">
        <v>104</v>
      </c>
      <c r="B28" t="str">
        <f>LEFT(A28,10)</f>
        <v>Coleburn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1</v>
      </c>
      <c r="AK28" s="3">
        <v>0</v>
      </c>
      <c r="AL28" s="3">
        <v>1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1</v>
      </c>
      <c r="AS28" s="3">
        <v>0</v>
      </c>
      <c r="AT28" s="3">
        <v>1</v>
      </c>
      <c r="AU28" s="3">
        <v>1</v>
      </c>
      <c r="AV28" s="3">
        <v>0</v>
      </c>
      <c r="AW28" s="3">
        <v>0</v>
      </c>
      <c r="AX28" s="3">
        <v>0</v>
      </c>
      <c r="AY28" s="3">
        <v>1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1</v>
      </c>
      <c r="BS28" s="3">
        <v>-9</v>
      </c>
      <c r="BT28" s="3">
        <v>2</v>
      </c>
      <c r="BU28" s="3">
        <v>67</v>
      </c>
      <c r="BV28" s="3">
        <v>40</v>
      </c>
      <c r="BW28" s="3" t="s">
        <v>70</v>
      </c>
      <c r="BX28" s="3" t="s">
        <v>73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15">
      <c r="A29" t="s">
        <v>105</v>
      </c>
      <c r="B29" t="str">
        <f>LEFT(A29,10)</f>
        <v>Convalmore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1</v>
      </c>
      <c r="AE29" s="3">
        <v>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1</v>
      </c>
      <c r="AM29" s="3">
        <v>0</v>
      </c>
      <c r="AN29" s="3">
        <v>0</v>
      </c>
      <c r="AO29" s="3">
        <v>0</v>
      </c>
      <c r="AP29" s="3">
        <v>1</v>
      </c>
      <c r="AQ29" s="3">
        <v>0</v>
      </c>
      <c r="AR29" s="3">
        <v>0</v>
      </c>
      <c r="AS29" s="3">
        <v>0</v>
      </c>
      <c r="AT29" s="3">
        <v>0</v>
      </c>
      <c r="AU29" s="3">
        <v>1</v>
      </c>
      <c r="AV29" s="3">
        <v>0</v>
      </c>
      <c r="AW29" s="3">
        <v>1</v>
      </c>
      <c r="AX29" s="3">
        <v>0</v>
      </c>
      <c r="AY29" s="3">
        <v>0</v>
      </c>
      <c r="AZ29" s="3">
        <v>0</v>
      </c>
      <c r="BA29" s="3">
        <v>1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1</v>
      </c>
      <c r="BJ29" s="3">
        <v>0</v>
      </c>
      <c r="BK29" s="3">
        <v>1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-9</v>
      </c>
      <c r="BT29" s="3">
        <v>2</v>
      </c>
      <c r="BU29" s="3">
        <v>68</v>
      </c>
      <c r="BV29" s="3">
        <v>40</v>
      </c>
      <c r="BW29" s="3" t="s">
        <v>70</v>
      </c>
      <c r="BX29" s="3" t="s">
        <v>73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15">
      <c r="A30" t="s">
        <v>106</v>
      </c>
      <c r="B30" t="str">
        <f>LEFT(A30,10)</f>
        <v>Cragganmor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3">
        <v>1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1</v>
      </c>
      <c r="AC30" s="3">
        <v>0</v>
      </c>
      <c r="AD30" s="3">
        <v>1</v>
      </c>
      <c r="AE30" s="3">
        <v>0</v>
      </c>
      <c r="AF30" s="3">
        <v>0</v>
      </c>
      <c r="AG30" s="3">
        <v>1</v>
      </c>
      <c r="AH30" s="3">
        <v>1</v>
      </c>
      <c r="AI30" s="3">
        <v>1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1</v>
      </c>
      <c r="AR30" s="3">
        <v>0</v>
      </c>
      <c r="AS30" s="3">
        <v>1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1</v>
      </c>
      <c r="BQ30" s="3">
        <v>0</v>
      </c>
      <c r="BR30" s="3">
        <v>0</v>
      </c>
      <c r="BS30" s="3">
        <v>12</v>
      </c>
      <c r="BT30" s="3">
        <v>4</v>
      </c>
      <c r="BU30" s="3">
        <v>90</v>
      </c>
      <c r="BV30" s="3">
        <v>40</v>
      </c>
      <c r="BW30" s="3" t="s">
        <v>70</v>
      </c>
      <c r="BX30" s="3" t="s">
        <v>73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15">
      <c r="A31" t="s">
        <v>107</v>
      </c>
      <c r="B31" t="str">
        <f>LEFT(A31,10)</f>
        <v>Craigellac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3">
        <v>1</v>
      </c>
      <c r="R31" s="3">
        <v>1</v>
      </c>
      <c r="S31" s="3">
        <v>1</v>
      </c>
      <c r="T31" s="3">
        <v>0</v>
      </c>
      <c r="U31" s="3">
        <v>0</v>
      </c>
      <c r="V31" s="3">
        <v>1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1</v>
      </c>
      <c r="AS31" s="3">
        <v>0</v>
      </c>
      <c r="AT31" s="3">
        <v>0</v>
      </c>
      <c r="AU31" s="3">
        <v>1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1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-9</v>
      </c>
      <c r="BT31" s="3">
        <v>3</v>
      </c>
      <c r="BU31" s="3">
        <v>72</v>
      </c>
      <c r="BV31" s="3">
        <v>40</v>
      </c>
      <c r="BW31" s="3" t="s">
        <v>70</v>
      </c>
      <c r="BX31" s="3" t="s">
        <v>73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15">
      <c r="A32" t="s">
        <v>108</v>
      </c>
      <c r="B32" t="str">
        <f>LEFT(A32,10)</f>
        <v>Dailuaine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3">
        <v>1</v>
      </c>
      <c r="R32" s="3">
        <v>0</v>
      </c>
      <c r="S32" s="3">
        <v>1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1</v>
      </c>
      <c r="AA32" s="3">
        <v>0</v>
      </c>
      <c r="AB32" s="3">
        <v>0</v>
      </c>
      <c r="AC32" s="3">
        <v>0</v>
      </c>
      <c r="AD32" s="3">
        <v>1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1</v>
      </c>
      <c r="AS32" s="3">
        <v>0</v>
      </c>
      <c r="AT32" s="3">
        <v>0</v>
      </c>
      <c r="AU32" s="3">
        <v>1</v>
      </c>
      <c r="AV32" s="3">
        <v>0</v>
      </c>
      <c r="AW32" s="3">
        <v>1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1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-9</v>
      </c>
      <c r="BT32" s="3">
        <v>3</v>
      </c>
      <c r="BU32" s="3">
        <v>74</v>
      </c>
      <c r="BV32" s="3">
        <v>40</v>
      </c>
      <c r="BW32" s="3" t="s">
        <v>70</v>
      </c>
      <c r="BX32" s="3" t="s">
        <v>73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15">
      <c r="A33" t="s">
        <v>109</v>
      </c>
      <c r="B33" t="str">
        <f>LEFT(A33,10)</f>
        <v>Dallas Dhu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 s="3">
        <v>0</v>
      </c>
      <c r="R33" s="3">
        <v>1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B33" s="3">
        <v>1</v>
      </c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</v>
      </c>
      <c r="AU33" s="3">
        <v>1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1</v>
      </c>
      <c r="BB33" s="3">
        <v>0</v>
      </c>
      <c r="BC33" s="3">
        <v>0</v>
      </c>
      <c r="BD33" s="3">
        <v>0</v>
      </c>
      <c r="BE33" s="3">
        <v>1</v>
      </c>
      <c r="BF33" s="3">
        <v>0</v>
      </c>
      <c r="BG33" s="3">
        <v>0</v>
      </c>
      <c r="BH33" s="3">
        <v>1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1</v>
      </c>
      <c r="BQ33" s="3">
        <v>0</v>
      </c>
      <c r="BR33" s="3">
        <v>0</v>
      </c>
      <c r="BS33" s="3">
        <v>-9</v>
      </c>
      <c r="BT33" s="3">
        <v>4</v>
      </c>
      <c r="BU33" s="3">
        <v>85</v>
      </c>
      <c r="BV33" s="3">
        <v>40</v>
      </c>
      <c r="BW33" s="3" t="s">
        <v>70</v>
      </c>
      <c r="BX33" s="3" t="s">
        <v>73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15">
      <c r="A34" t="s">
        <v>110</v>
      </c>
      <c r="B34" t="str">
        <f>LEFT(A34,10)</f>
        <v>Dalmore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1</v>
      </c>
      <c r="X34" s="3">
        <v>0</v>
      </c>
      <c r="Y34" s="3">
        <v>0</v>
      </c>
      <c r="Z34" s="3">
        <v>1</v>
      </c>
      <c r="AA34" s="3">
        <v>0</v>
      </c>
      <c r="AB34" s="3">
        <v>0</v>
      </c>
      <c r="AC34" s="3">
        <v>1</v>
      </c>
      <c r="AD34" s="3">
        <v>1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1</v>
      </c>
      <c r="AL34" s="3">
        <v>1</v>
      </c>
      <c r="AM34" s="3">
        <v>0</v>
      </c>
      <c r="AN34" s="3">
        <v>1</v>
      </c>
      <c r="AO34" s="3">
        <v>0</v>
      </c>
      <c r="AP34" s="3">
        <v>1</v>
      </c>
      <c r="AQ34" s="3">
        <v>0</v>
      </c>
      <c r="AR34" s="3">
        <v>1</v>
      </c>
      <c r="AS34" s="3">
        <v>0</v>
      </c>
      <c r="AT34" s="3">
        <v>1</v>
      </c>
      <c r="AU34" s="3">
        <v>0</v>
      </c>
      <c r="AV34" s="3">
        <v>1</v>
      </c>
      <c r="AW34" s="3">
        <v>0</v>
      </c>
      <c r="AX34" s="3">
        <v>1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1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1</v>
      </c>
      <c r="BQ34" s="3">
        <v>0</v>
      </c>
      <c r="BR34" s="3">
        <v>0</v>
      </c>
      <c r="BS34" s="3">
        <v>12</v>
      </c>
      <c r="BT34" s="3">
        <v>4</v>
      </c>
      <c r="BU34" s="3">
        <v>79</v>
      </c>
      <c r="BV34" s="3">
        <v>40</v>
      </c>
      <c r="BW34" s="3" t="s">
        <v>70</v>
      </c>
      <c r="BX34" s="3" t="s">
        <v>83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</row>
    <row r="35" spans="1:85" x14ac:dyDescent="0.15">
      <c r="A35" t="s">
        <v>111</v>
      </c>
      <c r="B35" t="str">
        <f>LEFT(A35,10)</f>
        <v>Dalwhinnie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3">
        <v>1</v>
      </c>
      <c r="R35" s="3">
        <v>1</v>
      </c>
      <c r="S35" s="3">
        <v>0</v>
      </c>
      <c r="T35" s="3">
        <v>0</v>
      </c>
      <c r="U35" s="3">
        <v>0</v>
      </c>
      <c r="V35" s="3">
        <v>1</v>
      </c>
      <c r="W35" s="3">
        <v>0</v>
      </c>
      <c r="X35" s="3">
        <v>0</v>
      </c>
      <c r="Y35" s="3">
        <v>1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1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1</v>
      </c>
      <c r="AQ35" s="3">
        <v>0</v>
      </c>
      <c r="AR35" s="3">
        <v>1</v>
      </c>
      <c r="AS35" s="3">
        <v>1</v>
      </c>
      <c r="AT35" s="3">
        <v>1</v>
      </c>
      <c r="AU35" s="3">
        <v>1</v>
      </c>
      <c r="AV35" s="3">
        <v>0</v>
      </c>
      <c r="AW35" s="3">
        <v>0</v>
      </c>
      <c r="AX35" s="3">
        <v>0</v>
      </c>
      <c r="AY35" s="3">
        <v>1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1</v>
      </c>
      <c r="BR35" s="3">
        <v>0</v>
      </c>
      <c r="BS35" s="3">
        <v>15</v>
      </c>
      <c r="BT35" s="3">
        <v>3</v>
      </c>
      <c r="BU35" s="3">
        <v>76</v>
      </c>
      <c r="BV35" s="3">
        <v>43</v>
      </c>
      <c r="BW35" s="3" t="s">
        <v>70</v>
      </c>
      <c r="BX35" s="3" t="s">
        <v>73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15">
      <c r="A36" t="s">
        <v>112</v>
      </c>
      <c r="B36" t="str">
        <f>LEFT(A36,10)</f>
        <v>Deanston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3">
        <v>0</v>
      </c>
      <c r="R36" s="3">
        <v>0</v>
      </c>
      <c r="S36" s="3">
        <v>1</v>
      </c>
      <c r="T36" s="3">
        <v>0</v>
      </c>
      <c r="U36" s="3">
        <v>1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1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1</v>
      </c>
      <c r="AS36" s="3">
        <v>0</v>
      </c>
      <c r="AT36" s="3">
        <v>0</v>
      </c>
      <c r="AU36" s="3">
        <v>1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1</v>
      </c>
      <c r="BB36" s="3">
        <v>0</v>
      </c>
      <c r="BC36" s="3">
        <v>0</v>
      </c>
      <c r="BD36" s="3">
        <v>1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-9</v>
      </c>
      <c r="BT36" s="3">
        <v>2</v>
      </c>
      <c r="BU36" s="3">
        <v>69</v>
      </c>
      <c r="BV36" s="3">
        <v>40</v>
      </c>
      <c r="BW36" s="3" t="s">
        <v>70</v>
      </c>
      <c r="BX36" s="3" t="s">
        <v>71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15">
      <c r="A37" t="s">
        <v>113</v>
      </c>
      <c r="B37" t="str">
        <f>LEFT(A37,10)</f>
        <v>Dufftown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3">
        <v>1</v>
      </c>
      <c r="R37" s="3">
        <v>1</v>
      </c>
      <c r="S37" s="3">
        <v>1</v>
      </c>
      <c r="T37" s="3">
        <v>0</v>
      </c>
      <c r="U37" s="3">
        <v>0</v>
      </c>
      <c r="V37" s="3">
        <v>1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1</v>
      </c>
      <c r="AC37" s="3">
        <v>0</v>
      </c>
      <c r="AD37" s="3">
        <v>1</v>
      </c>
      <c r="AE37" s="3">
        <v>0</v>
      </c>
      <c r="AF37" s="3">
        <v>1</v>
      </c>
      <c r="AG37" s="3">
        <v>0</v>
      </c>
      <c r="AH37" s="3">
        <v>1</v>
      </c>
      <c r="AI37" s="3">
        <v>1</v>
      </c>
      <c r="AJ37" s="3">
        <v>1</v>
      </c>
      <c r="AK37" s="3">
        <v>0</v>
      </c>
      <c r="AL37" s="3">
        <v>1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1</v>
      </c>
      <c r="AV37" s="3">
        <v>0</v>
      </c>
      <c r="AW37" s="3">
        <v>1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1</v>
      </c>
      <c r="BM37" s="3">
        <v>0</v>
      </c>
      <c r="BN37" s="3">
        <v>0</v>
      </c>
      <c r="BO37" s="3">
        <v>1</v>
      </c>
      <c r="BP37" s="3">
        <v>0</v>
      </c>
      <c r="BQ37" s="3">
        <v>0</v>
      </c>
      <c r="BR37" s="3">
        <v>0</v>
      </c>
      <c r="BS37" s="3">
        <v>10</v>
      </c>
      <c r="BT37" s="3">
        <v>3</v>
      </c>
      <c r="BU37" s="3">
        <v>71</v>
      </c>
      <c r="BV37" s="3">
        <v>40</v>
      </c>
      <c r="BW37" s="3" t="s">
        <v>70</v>
      </c>
      <c r="BX37" s="3" t="s">
        <v>73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15">
      <c r="A38" t="s">
        <v>114</v>
      </c>
      <c r="B38" t="str">
        <f>LEFT(A38,10)</f>
        <v>Edradour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3">
        <v>0</v>
      </c>
      <c r="R38" s="3">
        <v>1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1</v>
      </c>
      <c r="AA38" s="3">
        <v>1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1</v>
      </c>
      <c r="AR38" s="3">
        <v>0</v>
      </c>
      <c r="AS38" s="3">
        <v>0</v>
      </c>
      <c r="AT38" s="3">
        <v>0</v>
      </c>
      <c r="AU38" s="3">
        <v>1</v>
      </c>
      <c r="AV38" s="3">
        <v>1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1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10</v>
      </c>
      <c r="BT38" s="3">
        <v>4</v>
      </c>
      <c r="BU38" s="3">
        <v>81</v>
      </c>
      <c r="BV38" s="3">
        <v>40</v>
      </c>
      <c r="BW38" s="3" t="s">
        <v>70</v>
      </c>
      <c r="BX38" s="3" t="s">
        <v>71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15">
      <c r="A39" t="s">
        <v>115</v>
      </c>
      <c r="B39" t="str">
        <f>LEFT(A39,10)</f>
        <v>Fettercair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3">
        <v>1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1</v>
      </c>
      <c r="AI39" s="3">
        <v>0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1</v>
      </c>
      <c r="AS39" s="3">
        <v>1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1</v>
      </c>
      <c r="BC39" s="3">
        <v>0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</v>
      </c>
      <c r="BP39" s="3">
        <v>0</v>
      </c>
      <c r="BQ39" s="3">
        <v>0</v>
      </c>
      <c r="BR39" s="3">
        <v>0</v>
      </c>
      <c r="BS39" s="3">
        <v>8</v>
      </c>
      <c r="BT39" s="3">
        <v>3</v>
      </c>
      <c r="BU39" s="3">
        <v>71</v>
      </c>
      <c r="BV39" s="3">
        <v>40</v>
      </c>
      <c r="BW39" s="3" t="s">
        <v>70</v>
      </c>
      <c r="BX39" s="3" t="s">
        <v>116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15">
      <c r="A40" t="s">
        <v>117</v>
      </c>
      <c r="B40" t="str">
        <f>LEFT(A40,10)</f>
        <v>Glen  Alby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 s="3">
        <v>0</v>
      </c>
      <c r="R40" s="3">
        <v>1</v>
      </c>
      <c r="S40" s="3">
        <v>0</v>
      </c>
      <c r="T40" s="3">
        <v>1</v>
      </c>
      <c r="U40" s="3">
        <v>0</v>
      </c>
      <c r="V40" s="3">
        <v>1</v>
      </c>
      <c r="W40" s="3">
        <v>0</v>
      </c>
      <c r="X40" s="3">
        <v>0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1</v>
      </c>
      <c r="AE40" s="3">
        <v>0</v>
      </c>
      <c r="AF40" s="3">
        <v>1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1</v>
      </c>
      <c r="AU40" s="3">
        <v>1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1</v>
      </c>
      <c r="BP40" s="3">
        <v>0</v>
      </c>
      <c r="BQ40" s="3">
        <v>0</v>
      </c>
      <c r="BR40" s="3">
        <v>0</v>
      </c>
      <c r="BS40" s="3">
        <v>-9</v>
      </c>
      <c r="BT40" s="3">
        <v>2</v>
      </c>
      <c r="BU40" s="3">
        <v>67</v>
      </c>
      <c r="BV40" s="3">
        <v>40</v>
      </c>
      <c r="BW40" s="3" t="s">
        <v>70</v>
      </c>
      <c r="BX40" s="3" t="s">
        <v>73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15">
      <c r="A41" t="s">
        <v>118</v>
      </c>
      <c r="B41" t="str">
        <f>LEFT(A41,10)</f>
        <v>Glenallach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3">
        <v>1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1</v>
      </c>
      <c r="AQ41" s="3">
        <v>1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1</v>
      </c>
      <c r="BI41" s="3">
        <v>0</v>
      </c>
      <c r="BJ41" s="3">
        <v>1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1</v>
      </c>
      <c r="BQ41" s="3">
        <v>0</v>
      </c>
      <c r="BR41" s="3">
        <v>0</v>
      </c>
      <c r="BS41" s="3">
        <v>12</v>
      </c>
      <c r="BT41" s="3">
        <v>3</v>
      </c>
      <c r="BU41" s="3">
        <v>76</v>
      </c>
      <c r="BV41" s="3">
        <v>40</v>
      </c>
      <c r="BW41" s="3" t="s">
        <v>70</v>
      </c>
      <c r="BX41" s="3" t="s">
        <v>73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15">
      <c r="A42" t="s">
        <v>119</v>
      </c>
      <c r="B42" t="str">
        <f>LEFT(A42,10)</f>
        <v>Glenburgie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1</v>
      </c>
      <c r="X42" s="3">
        <v>1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1</v>
      </c>
      <c r="AI42" s="3">
        <v>0</v>
      </c>
      <c r="AJ42" s="3">
        <v>1</v>
      </c>
      <c r="AK42" s="3">
        <v>0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1</v>
      </c>
      <c r="AV42" s="3">
        <v>1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1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</v>
      </c>
      <c r="BQ42" s="3">
        <v>0</v>
      </c>
      <c r="BR42" s="3">
        <v>0</v>
      </c>
      <c r="BS42" s="3">
        <v>-9</v>
      </c>
      <c r="BT42" s="3">
        <v>2</v>
      </c>
      <c r="BU42" s="3">
        <v>68</v>
      </c>
      <c r="BV42" s="3">
        <v>40</v>
      </c>
      <c r="BW42" s="3" t="s">
        <v>70</v>
      </c>
      <c r="BX42" s="3" t="s">
        <v>73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15">
      <c r="A43" t="s">
        <v>120</v>
      </c>
      <c r="B43" t="str">
        <f>LEFT(A43,10)</f>
        <v>Glencadam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1</v>
      </c>
      <c r="AV43" s="3">
        <v>0</v>
      </c>
      <c r="AW43" s="3">
        <v>0</v>
      </c>
      <c r="AX43" s="3">
        <v>1</v>
      </c>
      <c r="AY43" s="3">
        <v>0</v>
      </c>
      <c r="AZ43" s="3">
        <v>0</v>
      </c>
      <c r="BA43" s="3">
        <v>0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-9</v>
      </c>
      <c r="BT43" s="3">
        <v>2</v>
      </c>
      <c r="BU43" s="3">
        <v>68</v>
      </c>
      <c r="BV43" s="3">
        <v>40</v>
      </c>
      <c r="BW43" s="3" t="s">
        <v>70</v>
      </c>
      <c r="BX43" s="3" t="s">
        <v>116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15">
      <c r="A44" t="s">
        <v>121</v>
      </c>
      <c r="B44" t="str">
        <f>LEFT(A44,10)</f>
        <v>Glen Dever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3">
        <v>1</v>
      </c>
      <c r="R44" s="3">
        <v>0</v>
      </c>
      <c r="S44" s="3">
        <v>1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1</v>
      </c>
      <c r="AE44" s="3">
        <v>0</v>
      </c>
      <c r="AF44" s="3">
        <v>0</v>
      </c>
      <c r="AG44" s="3">
        <v>1</v>
      </c>
      <c r="AH44" s="3">
        <v>1</v>
      </c>
      <c r="AI44" s="3">
        <v>0</v>
      </c>
      <c r="AJ44" s="3">
        <v>0</v>
      </c>
      <c r="AK44" s="3">
        <v>1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1</v>
      </c>
      <c r="AR44" s="3">
        <v>0</v>
      </c>
      <c r="AS44" s="3">
        <v>0</v>
      </c>
      <c r="AT44" s="3">
        <v>0</v>
      </c>
      <c r="AU44" s="3">
        <v>1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1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1</v>
      </c>
      <c r="BS44" s="3">
        <v>12</v>
      </c>
      <c r="BT44" s="3">
        <v>3</v>
      </c>
      <c r="BU44" s="3">
        <v>75</v>
      </c>
      <c r="BV44" s="3">
        <v>40</v>
      </c>
      <c r="BW44" s="3" t="s">
        <v>70</v>
      </c>
      <c r="BX44" s="3" t="s">
        <v>73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15">
      <c r="A45" t="s">
        <v>122</v>
      </c>
      <c r="B45" t="str">
        <f>LEFT(A45,10)</f>
        <v>Glendronac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1</v>
      </c>
      <c r="W45" s="3">
        <v>0</v>
      </c>
      <c r="X45" s="3">
        <v>0</v>
      </c>
      <c r="Y45" s="3">
        <v>0</v>
      </c>
      <c r="Z45" s="3">
        <v>1</v>
      </c>
      <c r="AA45" s="3">
        <v>0</v>
      </c>
      <c r="AB45" s="3">
        <v>0</v>
      </c>
      <c r="AC45" s="3">
        <v>0</v>
      </c>
      <c r="AD45" s="3">
        <v>1</v>
      </c>
      <c r="AE45" s="3">
        <v>1</v>
      </c>
      <c r="AF45" s="3">
        <v>0</v>
      </c>
      <c r="AG45" s="3">
        <v>1</v>
      </c>
      <c r="AH45" s="3">
        <v>0</v>
      </c>
      <c r="AI45" s="3">
        <v>0</v>
      </c>
      <c r="AJ45" s="3">
        <v>1</v>
      </c>
      <c r="AK45" s="3">
        <v>0</v>
      </c>
      <c r="AL45" s="3">
        <v>1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1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1</v>
      </c>
      <c r="BG45" s="3">
        <v>1</v>
      </c>
      <c r="BH45" s="3">
        <v>1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12</v>
      </c>
      <c r="BT45" s="3">
        <v>3</v>
      </c>
      <c r="BU45" s="3">
        <v>75</v>
      </c>
      <c r="BV45" s="3">
        <v>43</v>
      </c>
      <c r="BW45" s="3" t="s">
        <v>70</v>
      </c>
      <c r="BX45" s="3" t="s">
        <v>73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15">
      <c r="A46" t="s">
        <v>123</v>
      </c>
      <c r="B46" t="str">
        <f>LEFT(A46,10)</f>
        <v>Glendullan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 s="3">
        <v>1</v>
      </c>
      <c r="R46" s="3">
        <v>0</v>
      </c>
      <c r="S46" s="3">
        <v>1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1</v>
      </c>
      <c r="AE46" s="3">
        <v>1</v>
      </c>
      <c r="AF46" s="3">
        <v>0</v>
      </c>
      <c r="AG46" s="3">
        <v>1</v>
      </c>
      <c r="AH46" s="3">
        <v>0</v>
      </c>
      <c r="AI46" s="3">
        <v>1</v>
      </c>
      <c r="AJ46" s="3">
        <v>0</v>
      </c>
      <c r="AK46" s="3">
        <v>0</v>
      </c>
      <c r="AL46" s="3">
        <v>1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1</v>
      </c>
      <c r="AS46" s="3">
        <v>0</v>
      </c>
      <c r="AT46" s="3">
        <v>0</v>
      </c>
      <c r="AU46" s="3">
        <v>1</v>
      </c>
      <c r="AV46" s="3">
        <v>0</v>
      </c>
      <c r="AW46" s="3">
        <v>0</v>
      </c>
      <c r="AX46" s="3">
        <v>0</v>
      </c>
      <c r="AY46" s="3">
        <v>1</v>
      </c>
      <c r="AZ46" s="3">
        <v>0</v>
      </c>
      <c r="BA46" s="3">
        <v>0</v>
      </c>
      <c r="BB46" s="3">
        <v>1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1</v>
      </c>
      <c r="BQ46" s="3">
        <v>0</v>
      </c>
      <c r="BR46" s="3">
        <v>0</v>
      </c>
      <c r="BS46" s="3">
        <v>12</v>
      </c>
      <c r="BT46" s="3">
        <v>3</v>
      </c>
      <c r="BU46" s="3">
        <v>75</v>
      </c>
      <c r="BV46" s="3">
        <v>43</v>
      </c>
      <c r="BW46" s="3" t="s">
        <v>70</v>
      </c>
      <c r="BX46" s="3" t="s">
        <v>73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15">
      <c r="A47" t="s">
        <v>124</v>
      </c>
      <c r="B47" t="str">
        <f>LEFT(A47,10)</f>
        <v>Glen Elgin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1</v>
      </c>
      <c r="AE47" s="3">
        <v>0</v>
      </c>
      <c r="AF47" s="3">
        <v>0</v>
      </c>
      <c r="AG47" s="3">
        <v>0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1</v>
      </c>
      <c r="AR47" s="3">
        <v>1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1</v>
      </c>
      <c r="BE47" s="3">
        <v>0</v>
      </c>
      <c r="BF47" s="3">
        <v>1</v>
      </c>
      <c r="BG47" s="3">
        <v>0</v>
      </c>
      <c r="BH47" s="3">
        <v>0</v>
      </c>
      <c r="BI47" s="3">
        <v>1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12</v>
      </c>
      <c r="BT47" s="3">
        <v>3</v>
      </c>
      <c r="BU47" s="3">
        <v>75</v>
      </c>
      <c r="BV47" s="3">
        <v>43</v>
      </c>
      <c r="BW47" s="3" t="s">
        <v>70</v>
      </c>
      <c r="BX47" s="3" t="s">
        <v>73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15">
      <c r="A48" t="s">
        <v>125</v>
      </c>
      <c r="B48" t="str">
        <f>LEFT(A48,10)</f>
        <v>Glenesk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3">
        <v>1</v>
      </c>
      <c r="R48" s="3">
        <v>0</v>
      </c>
      <c r="S48" s="3">
        <v>1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1</v>
      </c>
      <c r="AE48" s="3">
        <v>0</v>
      </c>
      <c r="AF48" s="3">
        <v>0</v>
      </c>
      <c r="AG48" s="3">
        <v>1</v>
      </c>
      <c r="AH48" s="3">
        <v>1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0</v>
      </c>
      <c r="AP48" s="3">
        <v>1</v>
      </c>
      <c r="AQ48" s="3">
        <v>0</v>
      </c>
      <c r="AR48" s="3">
        <v>0</v>
      </c>
      <c r="AS48" s="3">
        <v>0</v>
      </c>
      <c r="AT48" s="3">
        <v>0</v>
      </c>
      <c r="AU48" s="3">
        <v>1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1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12</v>
      </c>
      <c r="BT48" s="3">
        <v>3</v>
      </c>
      <c r="BU48" s="3">
        <v>66</v>
      </c>
      <c r="BV48" s="3">
        <v>40</v>
      </c>
      <c r="BW48" s="3" t="s">
        <v>70</v>
      </c>
      <c r="BX48" s="3" t="s">
        <v>116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15">
      <c r="A49" t="s">
        <v>126</v>
      </c>
      <c r="B49" t="str">
        <f>LEFT(A49,10)</f>
        <v>Glenfarcla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s="3">
        <v>0</v>
      </c>
      <c r="R49" s="3">
        <v>1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</v>
      </c>
      <c r="AJ49" s="3">
        <v>0</v>
      </c>
      <c r="AK49" s="3">
        <v>0</v>
      </c>
      <c r="AL49" s="3">
        <v>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1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1</v>
      </c>
      <c r="BQ49" s="3">
        <v>0</v>
      </c>
      <c r="BR49" s="3">
        <v>0</v>
      </c>
      <c r="BS49" s="3">
        <v>10</v>
      </c>
      <c r="BT49" s="3">
        <v>4</v>
      </c>
      <c r="BU49" s="3">
        <v>86</v>
      </c>
      <c r="BV49" s="3">
        <v>40</v>
      </c>
      <c r="BW49" s="3" t="s">
        <v>70</v>
      </c>
      <c r="BX49" s="3" t="s">
        <v>73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15">
      <c r="A50" t="s">
        <v>127</v>
      </c>
      <c r="B50" t="str">
        <f>LEFT(A50,10)</f>
        <v>Glenfiddic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3">
        <v>1</v>
      </c>
      <c r="R50" s="3">
        <v>0</v>
      </c>
      <c r="S50" s="3">
        <v>1</v>
      </c>
      <c r="T50" s="3">
        <v>1</v>
      </c>
      <c r="U50" s="3">
        <v>1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1</v>
      </c>
      <c r="AI50" s="3">
        <v>1</v>
      </c>
      <c r="AJ50" s="3">
        <v>0</v>
      </c>
      <c r="AK50" s="3">
        <v>0</v>
      </c>
      <c r="AL50" s="3">
        <v>1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1</v>
      </c>
      <c r="AS50" s="3">
        <v>0</v>
      </c>
      <c r="AT50" s="3">
        <v>1</v>
      </c>
      <c r="AU50" s="3">
        <v>1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1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-9</v>
      </c>
      <c r="BT50" s="3">
        <v>3</v>
      </c>
      <c r="BU50" s="3">
        <v>75</v>
      </c>
      <c r="BV50" s="3">
        <v>40</v>
      </c>
      <c r="BW50" s="3" t="s">
        <v>70</v>
      </c>
      <c r="BX50" s="3" t="s">
        <v>73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15">
      <c r="A51" t="s">
        <v>128</v>
      </c>
      <c r="B51" t="str">
        <f>LEFT(A51,10)</f>
        <v>Glen Gario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3">
        <v>1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1</v>
      </c>
      <c r="AS51" s="3">
        <v>0</v>
      </c>
      <c r="AT51" s="3">
        <v>1</v>
      </c>
      <c r="AU51" s="3">
        <v>1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1</v>
      </c>
      <c r="BB51" s="3">
        <v>1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1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1</v>
      </c>
      <c r="BS51" s="3">
        <v>10</v>
      </c>
      <c r="BT51" s="3">
        <v>4</v>
      </c>
      <c r="BU51" s="3">
        <v>77</v>
      </c>
      <c r="BV51" s="3">
        <v>43</v>
      </c>
      <c r="BW51" s="3" t="s">
        <v>70</v>
      </c>
      <c r="BX51" s="3" t="s">
        <v>116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15">
      <c r="A52" t="s">
        <v>129</v>
      </c>
      <c r="B52" t="str">
        <f>LEFT(A52,10)</f>
        <v>Glenglassa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3">
        <v>0</v>
      </c>
      <c r="R52" s="3">
        <v>0</v>
      </c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>
        <v>1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</v>
      </c>
      <c r="AH52" s="3">
        <v>1</v>
      </c>
      <c r="AI52" s="3">
        <v>1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1</v>
      </c>
      <c r="AT52" s="3">
        <v>0</v>
      </c>
      <c r="AU52" s="3">
        <v>1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1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-9</v>
      </c>
      <c r="BT52" s="3">
        <v>3</v>
      </c>
      <c r="BU52" s="3">
        <v>76</v>
      </c>
      <c r="BV52" s="3">
        <v>40</v>
      </c>
      <c r="BW52" s="3" t="s">
        <v>70</v>
      </c>
      <c r="BX52" s="3" t="s">
        <v>73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15">
      <c r="A53" t="s">
        <v>130</v>
      </c>
      <c r="B53" t="str">
        <f>LEFT(A53,10)</f>
        <v>Glengoyne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3">
        <v>0</v>
      </c>
      <c r="R53" s="3">
        <v>1</v>
      </c>
      <c r="S53" s="3">
        <v>0</v>
      </c>
      <c r="T53" s="3">
        <v>0</v>
      </c>
      <c r="U53" s="3">
        <v>1</v>
      </c>
      <c r="V53" s="3">
        <v>0</v>
      </c>
      <c r="W53" s="3">
        <v>1</v>
      </c>
      <c r="X53" s="3">
        <v>0</v>
      </c>
      <c r="Y53" s="3">
        <v>0</v>
      </c>
      <c r="Z53" s="3">
        <v>1</v>
      </c>
      <c r="AA53" s="3">
        <v>0</v>
      </c>
      <c r="AB53" s="3">
        <v>0</v>
      </c>
      <c r="AC53" s="3">
        <v>0</v>
      </c>
      <c r="AD53" s="3">
        <v>1</v>
      </c>
      <c r="AE53" s="3">
        <v>0</v>
      </c>
      <c r="AF53" s="3">
        <v>1</v>
      </c>
      <c r="AG53" s="3">
        <v>1</v>
      </c>
      <c r="AH53" s="3">
        <v>1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1</v>
      </c>
      <c r="AR53" s="3">
        <v>0</v>
      </c>
      <c r="AS53" s="3">
        <v>0</v>
      </c>
      <c r="AT53" s="3">
        <v>0</v>
      </c>
      <c r="AU53" s="3">
        <v>1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1</v>
      </c>
      <c r="BG53" s="3">
        <v>0</v>
      </c>
      <c r="BH53" s="3">
        <v>0</v>
      </c>
      <c r="BI53" s="3">
        <v>0</v>
      </c>
      <c r="BJ53" s="3">
        <v>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10</v>
      </c>
      <c r="BT53" s="3">
        <v>3</v>
      </c>
      <c r="BU53" s="3">
        <v>74</v>
      </c>
      <c r="BV53" s="3">
        <v>40</v>
      </c>
      <c r="BW53" s="3" t="s">
        <v>70</v>
      </c>
      <c r="BX53" s="3" t="s">
        <v>80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</row>
    <row r="54" spans="1:85" x14ac:dyDescent="0.15">
      <c r="A54" t="s">
        <v>131</v>
      </c>
      <c r="B54" t="str">
        <f>LEFT(A54,10)</f>
        <v>Glen Grant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1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1</v>
      </c>
      <c r="AE54" s="3">
        <v>0</v>
      </c>
      <c r="AF54" s="3">
        <v>0</v>
      </c>
      <c r="AG54" s="3">
        <v>0</v>
      </c>
      <c r="AH54" s="3">
        <v>1</v>
      </c>
      <c r="AI54" s="3">
        <v>0</v>
      </c>
      <c r="AJ54" s="3">
        <v>0</v>
      </c>
      <c r="AK54" s="3">
        <v>0</v>
      </c>
      <c r="AL54" s="3">
        <v>1</v>
      </c>
      <c r="AM54" s="3">
        <v>0</v>
      </c>
      <c r="AN54" s="3">
        <v>0</v>
      </c>
      <c r="AO54" s="3">
        <v>1</v>
      </c>
      <c r="AP54" s="3">
        <v>0</v>
      </c>
      <c r="AQ54" s="3">
        <v>0</v>
      </c>
      <c r="AR54" s="3">
        <v>1</v>
      </c>
      <c r="AS54" s="3">
        <v>0</v>
      </c>
      <c r="AT54" s="3">
        <v>0</v>
      </c>
      <c r="AU54" s="3">
        <v>1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1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10</v>
      </c>
      <c r="BT54" s="3">
        <v>4</v>
      </c>
      <c r="BU54" s="3">
        <v>76</v>
      </c>
      <c r="BV54" s="3">
        <v>43</v>
      </c>
      <c r="BW54" s="3" t="s">
        <v>70</v>
      </c>
      <c r="BX54" s="3" t="s">
        <v>73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15">
      <c r="A55" t="s">
        <v>132</v>
      </c>
      <c r="B55" t="str">
        <f>LEFT(A55,10)</f>
        <v>Glen Keith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s="3">
        <v>0</v>
      </c>
      <c r="R55" s="3">
        <v>1</v>
      </c>
      <c r="S55" s="3">
        <v>0</v>
      </c>
      <c r="T55" s="3">
        <v>1</v>
      </c>
      <c r="U55" s="3">
        <v>0</v>
      </c>
      <c r="V55" s="3">
        <v>1</v>
      </c>
      <c r="W55" s="3">
        <v>0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1</v>
      </c>
      <c r="AE55" s="3">
        <v>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</v>
      </c>
      <c r="AM55" s="3">
        <v>1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</v>
      </c>
      <c r="AU55" s="3">
        <v>1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1</v>
      </c>
      <c r="BB55" s="3">
        <v>1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1</v>
      </c>
      <c r="BQ55" s="3">
        <v>0</v>
      </c>
      <c r="BR55" s="3">
        <v>0</v>
      </c>
      <c r="BS55" s="3">
        <v>-9</v>
      </c>
      <c r="BT55" s="3">
        <v>2</v>
      </c>
      <c r="BU55" s="3">
        <v>64</v>
      </c>
      <c r="BV55" s="3">
        <v>40</v>
      </c>
      <c r="BW55" s="3" t="s">
        <v>70</v>
      </c>
      <c r="BX55" s="3" t="s">
        <v>73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15">
      <c r="A56" t="s">
        <v>133</v>
      </c>
      <c r="B56" t="str">
        <f>LEFT(A56,10)</f>
        <v>Glenkinchi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3">
        <v>1</v>
      </c>
      <c r="R56" s="3">
        <v>1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1</v>
      </c>
      <c r="AE56" s="3">
        <v>0</v>
      </c>
      <c r="AF56" s="3">
        <v>0</v>
      </c>
      <c r="AG56" s="3">
        <v>0</v>
      </c>
      <c r="AH56" s="3">
        <v>1</v>
      </c>
      <c r="AI56" s="3">
        <v>0</v>
      </c>
      <c r="AJ56" s="3">
        <v>1</v>
      </c>
      <c r="AK56" s="3">
        <v>1</v>
      </c>
      <c r="AL56" s="3">
        <v>0</v>
      </c>
      <c r="AM56" s="3">
        <v>0</v>
      </c>
      <c r="AN56" s="3">
        <v>0</v>
      </c>
      <c r="AO56" s="3">
        <v>0</v>
      </c>
      <c r="AP56" s="3">
        <v>1</v>
      </c>
      <c r="AQ56" s="3">
        <v>1</v>
      </c>
      <c r="AR56" s="3">
        <v>0</v>
      </c>
      <c r="AS56" s="3">
        <v>1</v>
      </c>
      <c r="AT56" s="3">
        <v>0</v>
      </c>
      <c r="AU56" s="3">
        <v>1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1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10</v>
      </c>
      <c r="BT56" s="3">
        <v>4</v>
      </c>
      <c r="BU56" s="3">
        <v>76</v>
      </c>
      <c r="BV56" s="3">
        <v>43</v>
      </c>
      <c r="BW56" s="3" t="s">
        <v>79</v>
      </c>
      <c r="BX56" s="3" t="s">
        <v>116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</row>
    <row r="57" spans="1:85" x14ac:dyDescent="0.15">
      <c r="A57" t="s">
        <v>134</v>
      </c>
      <c r="B57" t="str">
        <f>LEFT(A57,10)</f>
        <v>Glenlivet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1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3">
        <v>0</v>
      </c>
      <c r="AG57" s="3">
        <v>1</v>
      </c>
      <c r="AH57" s="3">
        <v>1</v>
      </c>
      <c r="AI57" s="3">
        <v>1</v>
      </c>
      <c r="AJ57" s="3">
        <v>0</v>
      </c>
      <c r="AK57" s="3">
        <v>0</v>
      </c>
      <c r="AL57" s="3">
        <v>1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1</v>
      </c>
      <c r="AS57" s="3">
        <v>0</v>
      </c>
      <c r="AT57" s="3">
        <v>0</v>
      </c>
      <c r="AU57" s="3">
        <v>1</v>
      </c>
      <c r="AV57" s="3">
        <v>1</v>
      </c>
      <c r="AW57" s="3">
        <v>0</v>
      </c>
      <c r="AX57" s="3">
        <v>0</v>
      </c>
      <c r="AY57" s="3">
        <v>1</v>
      </c>
      <c r="AZ57" s="3">
        <v>0</v>
      </c>
      <c r="BA57" s="3">
        <v>0</v>
      </c>
      <c r="BB57" s="3">
        <v>1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1</v>
      </c>
      <c r="BQ57" s="3">
        <v>0</v>
      </c>
      <c r="BR57" s="3">
        <v>0</v>
      </c>
      <c r="BS57" s="3">
        <v>12</v>
      </c>
      <c r="BT57" s="3">
        <v>5</v>
      </c>
      <c r="BU57" s="3">
        <v>85</v>
      </c>
      <c r="BV57" s="3">
        <v>40</v>
      </c>
      <c r="BW57" s="3" t="s">
        <v>70</v>
      </c>
      <c r="BX57" s="3" t="s">
        <v>73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15">
      <c r="A58" t="s">
        <v>135</v>
      </c>
      <c r="B58" t="str">
        <f>LEFT(A58,10)</f>
        <v>Glenlochy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3">
        <v>0</v>
      </c>
      <c r="R58" s="3">
        <v>1</v>
      </c>
      <c r="S58" s="3">
        <v>0</v>
      </c>
      <c r="T58" s="3">
        <v>1</v>
      </c>
      <c r="U58" s="3">
        <v>0</v>
      </c>
      <c r="V58" s="3">
        <v>1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1</v>
      </c>
      <c r="AI58" s="3">
        <v>1</v>
      </c>
      <c r="AJ58" s="3">
        <v>1</v>
      </c>
      <c r="AK58" s="3">
        <v>0</v>
      </c>
      <c r="AL58" s="3">
        <v>1</v>
      </c>
      <c r="AM58" s="3">
        <v>0</v>
      </c>
      <c r="AN58" s="3">
        <v>0</v>
      </c>
      <c r="AO58" s="3">
        <v>1</v>
      </c>
      <c r="AP58" s="3">
        <v>0</v>
      </c>
      <c r="AQ58" s="3">
        <v>0</v>
      </c>
      <c r="AR58" s="3">
        <v>0</v>
      </c>
      <c r="AS58" s="3">
        <v>0</v>
      </c>
      <c r="AT58" s="3">
        <v>1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1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1</v>
      </c>
      <c r="BS58" s="3">
        <v>-9</v>
      </c>
      <c r="BT58" s="3">
        <v>2</v>
      </c>
      <c r="BU58" s="3">
        <v>70</v>
      </c>
      <c r="BV58" s="3">
        <v>40</v>
      </c>
      <c r="BW58" s="3" t="s">
        <v>70</v>
      </c>
      <c r="BX58" s="3" t="s">
        <v>80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</row>
    <row r="59" spans="1:85" x14ac:dyDescent="0.15">
      <c r="A59" t="s">
        <v>136</v>
      </c>
      <c r="B59" t="str">
        <f>LEFT(A59,10)</f>
        <v>Glenlossie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3">
        <v>0</v>
      </c>
      <c r="R59" s="3">
        <v>0</v>
      </c>
      <c r="S59" s="3">
        <v>1</v>
      </c>
      <c r="T59" s="3">
        <v>0</v>
      </c>
      <c r="U59" s="3">
        <v>1</v>
      </c>
      <c r="V59" s="3">
        <v>1</v>
      </c>
      <c r="W59" s="3">
        <v>1</v>
      </c>
      <c r="X59" s="3">
        <v>0</v>
      </c>
      <c r="Y59" s="3">
        <v>0</v>
      </c>
      <c r="Z59" s="3">
        <v>1</v>
      </c>
      <c r="AA59" s="3">
        <v>0</v>
      </c>
      <c r="AB59" s="3">
        <v>0</v>
      </c>
      <c r="AC59" s="3">
        <v>0</v>
      </c>
      <c r="AD59" s="3">
        <v>1</v>
      </c>
      <c r="AE59" s="3">
        <v>0</v>
      </c>
      <c r="AF59" s="3">
        <v>1</v>
      </c>
      <c r="AG59" s="3">
        <v>1</v>
      </c>
      <c r="AH59" s="3">
        <v>1</v>
      </c>
      <c r="AI59" s="3">
        <v>0</v>
      </c>
      <c r="AJ59" s="3">
        <v>0</v>
      </c>
      <c r="AK59" s="3">
        <v>0</v>
      </c>
      <c r="AL59" s="3">
        <v>1</v>
      </c>
      <c r="AM59" s="3">
        <v>0</v>
      </c>
      <c r="AN59" s="3">
        <v>0</v>
      </c>
      <c r="AO59" s="3">
        <v>0</v>
      </c>
      <c r="AP59" s="3">
        <v>0</v>
      </c>
      <c r="AQ59" s="3">
        <v>1</v>
      </c>
      <c r="AR59" s="3">
        <v>1</v>
      </c>
      <c r="AS59" s="3">
        <v>0</v>
      </c>
      <c r="AT59" s="3">
        <v>0</v>
      </c>
      <c r="AU59" s="3">
        <v>1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1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1</v>
      </c>
      <c r="BO59" s="3">
        <v>0</v>
      </c>
      <c r="BP59" s="3">
        <v>1</v>
      </c>
      <c r="BQ59" s="3">
        <v>0</v>
      </c>
      <c r="BR59" s="3">
        <v>0</v>
      </c>
      <c r="BS59" s="3">
        <v>-9</v>
      </c>
      <c r="BT59" s="3">
        <v>3</v>
      </c>
      <c r="BU59" s="3">
        <v>76</v>
      </c>
      <c r="BV59" s="3">
        <v>40</v>
      </c>
      <c r="BW59" s="3" t="s">
        <v>70</v>
      </c>
      <c r="BX59" s="3" t="s">
        <v>73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15">
      <c r="A60" t="s">
        <v>137</v>
      </c>
      <c r="B60" t="str">
        <f>LEFT(A60,10)</f>
        <v>Glen Mhor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3">
        <v>1</v>
      </c>
      <c r="R60" s="3">
        <v>0</v>
      </c>
      <c r="S60" s="3">
        <v>1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1</v>
      </c>
      <c r="AS60" s="3">
        <v>0</v>
      </c>
      <c r="AT60" s="3">
        <v>1</v>
      </c>
      <c r="AU60" s="3">
        <v>1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1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1</v>
      </c>
      <c r="BO60" s="3">
        <v>0</v>
      </c>
      <c r="BP60" s="3">
        <v>0</v>
      </c>
      <c r="BQ60" s="3">
        <v>0</v>
      </c>
      <c r="BR60" s="3">
        <v>0</v>
      </c>
      <c r="BS60" s="3">
        <v>8</v>
      </c>
      <c r="BT60" s="3">
        <v>2</v>
      </c>
      <c r="BU60" s="3">
        <v>64</v>
      </c>
      <c r="BV60" s="3">
        <v>40</v>
      </c>
      <c r="BW60" s="3" t="s">
        <v>70</v>
      </c>
      <c r="BX60" s="3" t="s">
        <v>73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15">
      <c r="A61" t="s">
        <v>138</v>
      </c>
      <c r="B61" t="str">
        <f>LEFT(A61,10)</f>
        <v>Glenmorang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3">
        <v>0</v>
      </c>
      <c r="R61" s="3">
        <v>0</v>
      </c>
      <c r="S61" s="3">
        <v>1</v>
      </c>
      <c r="T61" s="3">
        <v>0</v>
      </c>
      <c r="U61" s="3">
        <v>1</v>
      </c>
      <c r="V61" s="3">
        <v>0</v>
      </c>
      <c r="W61" s="3">
        <v>0</v>
      </c>
      <c r="X61" s="3">
        <v>1</v>
      </c>
      <c r="Y61" s="3">
        <v>1</v>
      </c>
      <c r="Z61" s="3">
        <v>0</v>
      </c>
      <c r="AA61" s="3">
        <v>1</v>
      </c>
      <c r="AB61" s="3">
        <v>0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1</v>
      </c>
      <c r="AI61" s="3">
        <v>0</v>
      </c>
      <c r="AJ61" s="3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</v>
      </c>
      <c r="AT61" s="3">
        <v>0</v>
      </c>
      <c r="AU61" s="3">
        <v>1</v>
      </c>
      <c r="AV61" s="3">
        <v>1</v>
      </c>
      <c r="AW61" s="3">
        <v>0</v>
      </c>
      <c r="AX61" s="3">
        <v>0</v>
      </c>
      <c r="AY61" s="3">
        <v>0</v>
      </c>
      <c r="AZ61" s="3">
        <v>1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1</v>
      </c>
      <c r="BQ61" s="3">
        <v>0</v>
      </c>
      <c r="BR61" s="3">
        <v>0</v>
      </c>
      <c r="BS61" s="3">
        <v>10</v>
      </c>
      <c r="BT61" s="3">
        <v>4</v>
      </c>
      <c r="BU61" s="3">
        <v>80</v>
      </c>
      <c r="BV61" s="3">
        <v>40</v>
      </c>
      <c r="BW61" s="3" t="s">
        <v>70</v>
      </c>
      <c r="BX61" s="3" t="s">
        <v>83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</row>
    <row r="62" spans="1:85" x14ac:dyDescent="0.15">
      <c r="A62" t="s">
        <v>139</v>
      </c>
      <c r="B62" t="str">
        <f>LEFT(A62,10)</f>
        <v>Glen Moray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1</v>
      </c>
      <c r="AH62" s="3">
        <v>1</v>
      </c>
      <c r="AI62" s="3">
        <v>1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1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1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1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12</v>
      </c>
      <c r="BT62" s="3">
        <v>3</v>
      </c>
      <c r="BU62" s="3">
        <v>75</v>
      </c>
      <c r="BV62" s="3">
        <v>40</v>
      </c>
      <c r="BW62" s="3" t="s">
        <v>70</v>
      </c>
      <c r="BX62" s="3" t="s">
        <v>73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15">
      <c r="A63" t="s">
        <v>140</v>
      </c>
      <c r="B63" t="str">
        <f>LEFT(A63,10)</f>
        <v>Glen Ordie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3">
        <v>0</v>
      </c>
      <c r="R63" s="3">
        <v>1</v>
      </c>
      <c r="S63" s="3">
        <v>1</v>
      </c>
      <c r="T63" s="3">
        <v>0</v>
      </c>
      <c r="U63" s="3">
        <v>0</v>
      </c>
      <c r="V63" s="3">
        <v>1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1</v>
      </c>
      <c r="AC63" s="3">
        <v>0</v>
      </c>
      <c r="AD63" s="3">
        <v>1</v>
      </c>
      <c r="AE63" s="3">
        <v>1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1</v>
      </c>
      <c r="AR63" s="3">
        <v>0</v>
      </c>
      <c r="AS63" s="3">
        <v>0</v>
      </c>
      <c r="AT63" s="3">
        <v>0</v>
      </c>
      <c r="AU63" s="3">
        <v>1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1</v>
      </c>
      <c r="BB63" s="3">
        <v>0</v>
      </c>
      <c r="BC63" s="3">
        <v>0</v>
      </c>
      <c r="BD63" s="3">
        <v>0</v>
      </c>
      <c r="BE63" s="3">
        <v>1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12</v>
      </c>
      <c r="BT63" s="3">
        <v>3</v>
      </c>
      <c r="BU63" s="3">
        <v>75</v>
      </c>
      <c r="BV63" s="3">
        <v>40</v>
      </c>
      <c r="BW63" s="3" t="s">
        <v>70</v>
      </c>
      <c r="BX63" s="3" t="s">
        <v>83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</row>
    <row r="64" spans="1:85" x14ac:dyDescent="0.15">
      <c r="A64" t="s">
        <v>141</v>
      </c>
      <c r="B64" t="str">
        <f>LEFT(A64,10)</f>
        <v>Glenrothes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</v>
      </c>
      <c r="X64" s="3">
        <v>0</v>
      </c>
      <c r="Y64" s="3">
        <v>0</v>
      </c>
      <c r="Z64" s="3">
        <v>0</v>
      </c>
      <c r="AA64" s="3">
        <v>0</v>
      </c>
      <c r="AB64" s="3">
        <v>1</v>
      </c>
      <c r="AC64" s="3">
        <v>0</v>
      </c>
      <c r="AD64" s="3">
        <v>1</v>
      </c>
      <c r="AE64" s="3">
        <v>1</v>
      </c>
      <c r="AF64" s="3">
        <v>0</v>
      </c>
      <c r="AG64" s="3">
        <v>1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3">
        <v>0</v>
      </c>
      <c r="AN64" s="3">
        <v>0</v>
      </c>
      <c r="AO64" s="3">
        <v>0</v>
      </c>
      <c r="AP64" s="3">
        <v>1</v>
      </c>
      <c r="AQ64" s="3">
        <v>0</v>
      </c>
      <c r="AR64" s="3">
        <v>1</v>
      </c>
      <c r="AS64" s="3">
        <v>0</v>
      </c>
      <c r="AT64" s="3">
        <v>0</v>
      </c>
      <c r="AU64" s="3">
        <v>1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1</v>
      </c>
      <c r="BB64" s="3">
        <v>0</v>
      </c>
      <c r="BC64" s="3">
        <v>0</v>
      </c>
      <c r="BD64" s="3">
        <v>0</v>
      </c>
      <c r="BE64" s="3">
        <v>1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8</v>
      </c>
      <c r="BT64" s="3">
        <v>4</v>
      </c>
      <c r="BU64" s="3">
        <v>80</v>
      </c>
      <c r="BV64" s="3">
        <v>40</v>
      </c>
      <c r="BW64" s="3" t="s">
        <v>70</v>
      </c>
      <c r="BX64" s="3" t="s">
        <v>73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15">
      <c r="A65" t="s">
        <v>142</v>
      </c>
      <c r="B65" t="str">
        <f>LEFT(A65,10)</f>
        <v>Glen Scoti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3">
        <v>1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0</v>
      </c>
      <c r="AB65" s="3">
        <v>0</v>
      </c>
      <c r="AC65" s="3">
        <v>0</v>
      </c>
      <c r="AD65" s="3">
        <v>1</v>
      </c>
      <c r="AE65" s="3">
        <v>0</v>
      </c>
      <c r="AF65" s="3">
        <v>1</v>
      </c>
      <c r="AG65" s="3">
        <v>1</v>
      </c>
      <c r="AH65" s="3">
        <v>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1</v>
      </c>
      <c r="AY65" s="3">
        <v>0</v>
      </c>
      <c r="AZ65" s="3">
        <v>0</v>
      </c>
      <c r="BA65" s="3">
        <v>0</v>
      </c>
      <c r="BB65" s="3">
        <v>0</v>
      </c>
      <c r="BC65" s="3">
        <v>1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1</v>
      </c>
      <c r="BQ65" s="3">
        <v>0</v>
      </c>
      <c r="BR65" s="3">
        <v>0</v>
      </c>
      <c r="BS65" s="3">
        <v>8</v>
      </c>
      <c r="BT65" s="3">
        <v>4</v>
      </c>
      <c r="BU65" s="3">
        <v>85</v>
      </c>
      <c r="BV65" s="3">
        <v>40</v>
      </c>
      <c r="BW65" s="3" t="s">
        <v>79</v>
      </c>
      <c r="BX65" s="3" t="s">
        <v>143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</row>
    <row r="66" spans="1:85" x14ac:dyDescent="0.15">
      <c r="A66" t="s">
        <v>144</v>
      </c>
      <c r="B66" t="str">
        <f>LEFT(A66,10)</f>
        <v>Glen Spey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3">
        <v>1</v>
      </c>
      <c r="R66" s="3">
        <v>0</v>
      </c>
      <c r="S66" s="3">
        <v>0</v>
      </c>
      <c r="T66" s="3">
        <v>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1</v>
      </c>
      <c r="AS66" s="3">
        <v>1</v>
      </c>
      <c r="AT66" s="3">
        <v>1</v>
      </c>
      <c r="AU66" s="3">
        <v>0</v>
      </c>
      <c r="AV66" s="3">
        <v>0</v>
      </c>
      <c r="AW66" s="3">
        <v>0</v>
      </c>
      <c r="AX66" s="3">
        <v>0</v>
      </c>
      <c r="AY66" s="3">
        <v>1</v>
      </c>
      <c r="AZ66" s="3">
        <v>0</v>
      </c>
      <c r="BA66" s="3">
        <v>1</v>
      </c>
      <c r="BB66" s="3">
        <v>0</v>
      </c>
      <c r="BC66" s="3">
        <v>0</v>
      </c>
      <c r="BD66" s="3">
        <v>1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8</v>
      </c>
      <c r="BT66" s="3">
        <v>3</v>
      </c>
      <c r="BU66" s="3">
        <v>73</v>
      </c>
      <c r="BV66" s="3">
        <v>40</v>
      </c>
      <c r="BW66" s="3" t="s">
        <v>70</v>
      </c>
      <c r="BX66" s="3" t="s">
        <v>73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15">
      <c r="A67" t="s">
        <v>145</v>
      </c>
      <c r="B67" t="str">
        <f>LEFT(A67,10)</f>
        <v>Glentauche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3">
        <v>0</v>
      </c>
      <c r="R67" s="3">
        <v>0</v>
      </c>
      <c r="S67" s="3">
        <v>1</v>
      </c>
      <c r="T67" s="3">
        <v>1</v>
      </c>
      <c r="U67" s="3">
        <v>0</v>
      </c>
      <c r="V67" s="3">
        <v>1</v>
      </c>
      <c r="W67" s="3">
        <v>1</v>
      </c>
      <c r="X67" s="3">
        <v>0</v>
      </c>
      <c r="Y67" s="3">
        <v>1</v>
      </c>
      <c r="Z67" s="3">
        <v>0</v>
      </c>
      <c r="AA67" s="3">
        <v>1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1</v>
      </c>
      <c r="AH67" s="3">
        <v>1</v>
      </c>
      <c r="AI67" s="3">
        <v>0</v>
      </c>
      <c r="AJ67" s="3">
        <v>0</v>
      </c>
      <c r="AK67" s="3">
        <v>0</v>
      </c>
      <c r="AL67" s="3">
        <v>1</v>
      </c>
      <c r="AM67" s="3">
        <v>0</v>
      </c>
      <c r="AN67" s="3">
        <v>1</v>
      </c>
      <c r="AO67" s="3">
        <v>1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1</v>
      </c>
      <c r="BB67" s="3">
        <v>1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</v>
      </c>
      <c r="BQ67" s="3">
        <v>0</v>
      </c>
      <c r="BR67" s="3">
        <v>0</v>
      </c>
      <c r="BS67" s="3">
        <v>17</v>
      </c>
      <c r="BT67" s="3">
        <v>2</v>
      </c>
      <c r="BU67" s="3">
        <v>71</v>
      </c>
      <c r="BV67" s="3">
        <v>46</v>
      </c>
      <c r="BW67" s="3" t="s">
        <v>70</v>
      </c>
      <c r="BX67" s="3" t="s">
        <v>73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15">
      <c r="A68" t="s">
        <v>146</v>
      </c>
      <c r="B68" t="str">
        <f>LEFT(A68,10)</f>
        <v>Glenturret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3">
        <v>1</v>
      </c>
      <c r="R68" s="3">
        <v>0</v>
      </c>
      <c r="S68" s="3">
        <v>1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1</v>
      </c>
      <c r="AJ68" s="3">
        <v>0</v>
      </c>
      <c r="AK68" s="3">
        <v>0</v>
      </c>
      <c r="AL68" s="3">
        <v>0</v>
      </c>
      <c r="AM68" s="3">
        <v>0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1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1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10</v>
      </c>
      <c r="BT68" s="3">
        <v>4</v>
      </c>
      <c r="BU68" s="3">
        <v>77</v>
      </c>
      <c r="BV68" s="3">
        <v>57.1</v>
      </c>
      <c r="BW68" s="3" t="s">
        <v>70</v>
      </c>
      <c r="BX68" s="3" t="s">
        <v>71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15">
      <c r="A69" t="s">
        <v>147</v>
      </c>
      <c r="B69" t="str">
        <f>LEFT(A69,10)</f>
        <v>Glenugie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3">
        <v>0</v>
      </c>
      <c r="W69" s="3">
        <v>1</v>
      </c>
      <c r="X69" s="3">
        <v>0</v>
      </c>
      <c r="Y69" s="3">
        <v>1</v>
      </c>
      <c r="Z69" s="3">
        <v>1</v>
      </c>
      <c r="AA69" s="3">
        <v>0</v>
      </c>
      <c r="AB69" s="3">
        <v>0</v>
      </c>
      <c r="AC69" s="3">
        <v>1</v>
      </c>
      <c r="AD69" s="3">
        <v>1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1</v>
      </c>
      <c r="AK69" s="3">
        <v>0</v>
      </c>
      <c r="AL69" s="3">
        <v>0</v>
      </c>
      <c r="AM69" s="3">
        <v>1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1</v>
      </c>
      <c r="AV69" s="3">
        <v>1</v>
      </c>
      <c r="AW69" s="3">
        <v>0</v>
      </c>
      <c r="AX69" s="3">
        <v>0</v>
      </c>
      <c r="AY69" s="3">
        <v>0</v>
      </c>
      <c r="AZ69" s="3">
        <v>0</v>
      </c>
      <c r="BA69" s="3">
        <v>1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-9</v>
      </c>
      <c r="BT69" s="3">
        <v>2</v>
      </c>
      <c r="BU69" s="3">
        <v>70</v>
      </c>
      <c r="BV69" s="3">
        <v>54.8</v>
      </c>
      <c r="BW69" s="3" t="s">
        <v>70</v>
      </c>
      <c r="BX69" s="3" t="s">
        <v>116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15">
      <c r="A70" t="s">
        <v>148</v>
      </c>
      <c r="B70" t="str">
        <f>LEFT(A70,10)</f>
        <v>Glenury Ro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 s="3">
        <v>1</v>
      </c>
      <c r="R70" s="3">
        <v>1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1</v>
      </c>
      <c r="AI70" s="3">
        <v>1</v>
      </c>
      <c r="AJ70" s="3">
        <v>0</v>
      </c>
      <c r="AK70" s="3">
        <v>0</v>
      </c>
      <c r="AL70" s="3">
        <v>1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1</v>
      </c>
      <c r="AU70" s="3">
        <v>1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1</v>
      </c>
      <c r="BH70" s="3">
        <v>0</v>
      </c>
      <c r="BI70" s="3">
        <v>1</v>
      </c>
      <c r="BJ70" s="3">
        <v>1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1</v>
      </c>
      <c r="BR70" s="3">
        <v>0</v>
      </c>
      <c r="BS70" s="3">
        <v>12</v>
      </c>
      <c r="BT70" s="3">
        <v>3</v>
      </c>
      <c r="BU70" s="3">
        <v>76</v>
      </c>
      <c r="BV70" s="3">
        <v>40</v>
      </c>
      <c r="BW70" s="3" t="s">
        <v>70</v>
      </c>
      <c r="BX70" s="3" t="s">
        <v>116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15">
      <c r="A71" t="s">
        <v>149</v>
      </c>
      <c r="B71" t="str">
        <f>LEFT(A71,10)</f>
        <v>Highland P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 s="3">
        <v>0</v>
      </c>
      <c r="R71" s="3">
        <v>1</v>
      </c>
      <c r="S71" s="3">
        <v>1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0</v>
      </c>
      <c r="Z71" s="3">
        <v>1</v>
      </c>
      <c r="AA71" s="3">
        <v>0</v>
      </c>
      <c r="AB71" s="3">
        <v>0</v>
      </c>
      <c r="AC71" s="3">
        <v>0</v>
      </c>
      <c r="AD71" s="3">
        <v>1</v>
      </c>
      <c r="AE71" s="3">
        <v>0</v>
      </c>
      <c r="AF71" s="3">
        <v>0</v>
      </c>
      <c r="AG71" s="3">
        <v>1</v>
      </c>
      <c r="AH71" s="3">
        <v>0</v>
      </c>
      <c r="AI71" s="3">
        <v>0</v>
      </c>
      <c r="AJ71" s="3">
        <v>0</v>
      </c>
      <c r="AK71" s="3">
        <v>0</v>
      </c>
      <c r="AL71" s="3">
        <v>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</v>
      </c>
      <c r="AU71" s="3">
        <v>1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1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12</v>
      </c>
      <c r="BT71" s="3">
        <v>5</v>
      </c>
      <c r="BU71" s="3">
        <v>90</v>
      </c>
      <c r="BV71" s="3">
        <v>40</v>
      </c>
      <c r="BW71" s="3" t="s">
        <v>70</v>
      </c>
      <c r="BX71" s="3" t="s">
        <v>150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</row>
    <row r="72" spans="1:85" x14ac:dyDescent="0.15">
      <c r="A72" t="s">
        <v>151</v>
      </c>
      <c r="B72" t="str">
        <f>LEFT(A72,10)</f>
        <v>Imperial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3">
        <v>1</v>
      </c>
      <c r="R72" s="3">
        <v>1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1</v>
      </c>
      <c r="AA72" s="3">
        <v>0</v>
      </c>
      <c r="AB72" s="3">
        <v>0</v>
      </c>
      <c r="AC72" s="3">
        <v>1</v>
      </c>
      <c r="AD72" s="3">
        <v>1</v>
      </c>
      <c r="AE72" s="3">
        <v>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1</v>
      </c>
      <c r="AU72" s="3">
        <v>1</v>
      </c>
      <c r="AV72" s="3">
        <v>1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1</v>
      </c>
      <c r="BF72" s="3">
        <v>0</v>
      </c>
      <c r="BG72" s="3">
        <v>0</v>
      </c>
      <c r="BH72" s="3">
        <v>0</v>
      </c>
      <c r="BI72" s="3">
        <v>1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-9</v>
      </c>
      <c r="BT72" s="3">
        <v>3</v>
      </c>
      <c r="BU72" s="3">
        <v>76</v>
      </c>
      <c r="BV72" s="3">
        <v>40</v>
      </c>
      <c r="BW72" s="3" t="s">
        <v>70</v>
      </c>
      <c r="BX72" s="3" t="s">
        <v>73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15">
      <c r="A73" t="s">
        <v>152</v>
      </c>
      <c r="B73" t="str">
        <f>LEFT(A73,10)</f>
        <v>Inchgower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3">
        <v>1</v>
      </c>
      <c r="R73" s="3">
        <v>1</v>
      </c>
      <c r="S73" s="3">
        <v>1</v>
      </c>
      <c r="T73" s="3">
        <v>0</v>
      </c>
      <c r="U73" s="3">
        <v>0</v>
      </c>
      <c r="V73" s="3">
        <v>1</v>
      </c>
      <c r="W73" s="3">
        <v>0</v>
      </c>
      <c r="X73" s="3">
        <v>0</v>
      </c>
      <c r="Y73" s="3">
        <v>1</v>
      </c>
      <c r="Z73" s="3">
        <v>0</v>
      </c>
      <c r="AA73" s="3">
        <v>0</v>
      </c>
      <c r="AB73" s="3">
        <v>1</v>
      </c>
      <c r="AC73" s="3">
        <v>0</v>
      </c>
      <c r="AD73" s="3">
        <v>1</v>
      </c>
      <c r="AE73" s="3">
        <v>0</v>
      </c>
      <c r="AF73" s="3">
        <v>0</v>
      </c>
      <c r="AG73" s="3">
        <v>1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1</v>
      </c>
      <c r="AV73" s="3">
        <v>0</v>
      </c>
      <c r="AW73" s="3">
        <v>0</v>
      </c>
      <c r="AX73" s="3">
        <v>1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1</v>
      </c>
      <c r="BN73" s="3">
        <v>0</v>
      </c>
      <c r="BO73" s="3">
        <v>0</v>
      </c>
      <c r="BP73" s="3">
        <v>1</v>
      </c>
      <c r="BQ73" s="3">
        <v>0</v>
      </c>
      <c r="BR73" s="3">
        <v>0</v>
      </c>
      <c r="BS73" s="3">
        <v>12</v>
      </c>
      <c r="BT73" s="3">
        <v>3</v>
      </c>
      <c r="BU73" s="3">
        <v>75</v>
      </c>
      <c r="BV73" s="3">
        <v>40</v>
      </c>
      <c r="BW73" s="3" t="s">
        <v>70</v>
      </c>
      <c r="BX73" s="3" t="s">
        <v>73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15">
      <c r="A74" t="s">
        <v>153</v>
      </c>
      <c r="B74" t="str">
        <f>LEFT(A74,10)</f>
        <v>Inchmurrin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1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1</v>
      </c>
      <c r="AG74" s="3">
        <v>0</v>
      </c>
      <c r="AH74" s="3">
        <v>1</v>
      </c>
      <c r="AI74" s="3">
        <v>0</v>
      </c>
      <c r="AJ74" s="3">
        <v>1</v>
      </c>
      <c r="AK74" s="3">
        <v>0</v>
      </c>
      <c r="AL74" s="3">
        <v>1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1</v>
      </c>
      <c r="AV74" s="3">
        <v>1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1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1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12</v>
      </c>
      <c r="BT74" s="3">
        <v>2</v>
      </c>
      <c r="BU74" s="3">
        <v>65</v>
      </c>
      <c r="BV74" s="3">
        <v>40</v>
      </c>
      <c r="BW74" s="3" t="s">
        <v>70</v>
      </c>
      <c r="BX74" s="3" t="s">
        <v>80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</row>
    <row r="75" spans="1:85" x14ac:dyDescent="0.15">
      <c r="A75" t="s">
        <v>154</v>
      </c>
      <c r="B75" t="str">
        <f>LEFT(A75,10)</f>
        <v>Inverleven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3">
        <v>1</v>
      </c>
      <c r="R75" s="3">
        <v>1</v>
      </c>
      <c r="S75" s="3">
        <v>0</v>
      </c>
      <c r="T75" s="3">
        <v>0</v>
      </c>
      <c r="U75" s="3">
        <v>0</v>
      </c>
      <c r="V75" s="3">
        <v>1</v>
      </c>
      <c r="W75" s="3">
        <v>1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1</v>
      </c>
      <c r="AF75" s="3">
        <v>1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>
        <v>0</v>
      </c>
      <c r="BE75" s="3">
        <v>0</v>
      </c>
      <c r="BF75" s="3">
        <v>0</v>
      </c>
      <c r="BG75" s="3">
        <v>1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17</v>
      </c>
      <c r="BT75" s="3">
        <v>2</v>
      </c>
      <c r="BU75" s="3">
        <v>67</v>
      </c>
      <c r="BV75" s="3">
        <v>46</v>
      </c>
      <c r="BW75" s="3" t="s">
        <v>79</v>
      </c>
      <c r="BX75" s="3" t="s">
        <v>80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</row>
    <row r="76" spans="1:85" x14ac:dyDescent="0.15">
      <c r="A76" t="s">
        <v>155</v>
      </c>
      <c r="B76" t="str">
        <f>LEFT(A76,10)</f>
        <v>Jura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3">
        <v>0</v>
      </c>
      <c r="R76" s="3">
        <v>1</v>
      </c>
      <c r="S76" s="3">
        <v>1</v>
      </c>
      <c r="T76" s="3">
        <v>1</v>
      </c>
      <c r="U76" s="3">
        <v>0</v>
      </c>
      <c r="V76" s="3">
        <v>1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1</v>
      </c>
      <c r="AD76" s="3">
        <v>0</v>
      </c>
      <c r="AE76" s="3">
        <v>0</v>
      </c>
      <c r="AF76" s="3">
        <v>0</v>
      </c>
      <c r="AG76" s="3">
        <v>0</v>
      </c>
      <c r="AH76" s="3">
        <v>1</v>
      </c>
      <c r="AI76" s="3">
        <v>0</v>
      </c>
      <c r="AJ76" s="3">
        <v>0</v>
      </c>
      <c r="AK76" s="3">
        <v>0</v>
      </c>
      <c r="AL76" s="3">
        <v>1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</v>
      </c>
      <c r="AV76" s="3">
        <v>0</v>
      </c>
      <c r="AW76" s="3">
        <v>0</v>
      </c>
      <c r="AX76" s="3">
        <v>1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1</v>
      </c>
      <c r="BK76" s="3">
        <v>0</v>
      </c>
      <c r="BL76" s="3">
        <v>0</v>
      </c>
      <c r="BM76" s="3">
        <v>1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10</v>
      </c>
      <c r="BT76" s="3">
        <v>3</v>
      </c>
      <c r="BU76" s="3">
        <v>71</v>
      </c>
      <c r="BV76" s="3">
        <v>40</v>
      </c>
      <c r="BW76" s="3" t="s">
        <v>70</v>
      </c>
      <c r="BX76" s="3" t="s">
        <v>156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</row>
    <row r="77" spans="1:85" x14ac:dyDescent="0.15">
      <c r="A77" t="s">
        <v>157</v>
      </c>
      <c r="B77" t="str">
        <f>LEFT(A77,10)</f>
        <v>Kinclaith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  <c r="AB77" s="3">
        <v>0</v>
      </c>
      <c r="AC77" s="3">
        <v>1</v>
      </c>
      <c r="AD77" s="3">
        <v>0</v>
      </c>
      <c r="AE77" s="3">
        <v>0</v>
      </c>
      <c r="AF77" s="3">
        <v>0</v>
      </c>
      <c r="AG77" s="3">
        <v>0</v>
      </c>
      <c r="AH77" s="3">
        <v>1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1</v>
      </c>
      <c r="AP77" s="3">
        <v>0</v>
      </c>
      <c r="AQ77" s="3">
        <v>0</v>
      </c>
      <c r="AR77" s="3">
        <v>1</v>
      </c>
      <c r="AS77" s="3">
        <v>0</v>
      </c>
      <c r="AT77" s="3">
        <v>0</v>
      </c>
      <c r="AU77" s="3">
        <v>0</v>
      </c>
      <c r="AV77" s="3">
        <v>1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1</v>
      </c>
      <c r="BF77" s="3">
        <v>0</v>
      </c>
      <c r="BG77" s="3">
        <v>1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-9</v>
      </c>
      <c r="BT77" s="3">
        <v>2</v>
      </c>
      <c r="BU77" s="3">
        <v>69</v>
      </c>
      <c r="BV77" s="3">
        <v>40</v>
      </c>
      <c r="BW77" s="3" t="s">
        <v>79</v>
      </c>
      <c r="BX77" s="3" t="s">
        <v>80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</row>
    <row r="78" spans="1:85" x14ac:dyDescent="0.15">
      <c r="A78" t="s">
        <v>158</v>
      </c>
      <c r="B78" t="str">
        <f>LEFT(A78,10)</f>
        <v>Knockando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3">
        <v>1</v>
      </c>
      <c r="R78" s="3">
        <v>1</v>
      </c>
      <c r="S78" s="3">
        <v>0</v>
      </c>
      <c r="T78" s="3">
        <v>0</v>
      </c>
      <c r="U78" s="3">
        <v>0</v>
      </c>
      <c r="V78" s="3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1</v>
      </c>
      <c r="AH78" s="3">
        <v>1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1</v>
      </c>
      <c r="AQ78" s="3">
        <v>0</v>
      </c>
      <c r="AR78" s="3">
        <v>1</v>
      </c>
      <c r="AS78" s="3">
        <v>1</v>
      </c>
      <c r="AT78" s="3">
        <v>0</v>
      </c>
      <c r="AU78" s="3">
        <v>1</v>
      </c>
      <c r="AV78" s="3">
        <v>1</v>
      </c>
      <c r="AW78" s="3">
        <v>0</v>
      </c>
      <c r="AX78" s="3">
        <v>1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1</v>
      </c>
      <c r="BE78" s="3">
        <v>1</v>
      </c>
      <c r="BF78" s="3">
        <v>1</v>
      </c>
      <c r="BG78" s="3">
        <v>0</v>
      </c>
      <c r="BH78" s="3">
        <v>1</v>
      </c>
      <c r="BI78" s="3">
        <v>1</v>
      </c>
      <c r="BJ78" s="3">
        <v>1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-9</v>
      </c>
      <c r="BT78" s="3">
        <v>3</v>
      </c>
      <c r="BU78" s="3">
        <v>76</v>
      </c>
      <c r="BV78" s="3">
        <v>43</v>
      </c>
      <c r="BW78" s="3" t="s">
        <v>70</v>
      </c>
      <c r="BX78" s="3" t="s">
        <v>73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15">
      <c r="A79" t="s">
        <v>159</v>
      </c>
      <c r="B79" t="str">
        <f>LEFT(A79,10)</f>
        <v>Knockdhu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3">
        <v>0</v>
      </c>
      <c r="R79" s="3">
        <v>1</v>
      </c>
      <c r="S79" s="3">
        <v>1</v>
      </c>
      <c r="T79" s="3">
        <v>0</v>
      </c>
      <c r="U79" s="3">
        <v>0</v>
      </c>
      <c r="V79" s="3">
        <v>1</v>
      </c>
      <c r="W79" s="3">
        <v>1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1</v>
      </c>
      <c r="AD79" s="3">
        <v>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1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1</v>
      </c>
      <c r="AS79" s="3">
        <v>0</v>
      </c>
      <c r="AT79" s="3">
        <v>0</v>
      </c>
      <c r="AU79" s="3">
        <v>1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1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1</v>
      </c>
      <c r="BJ79" s="3">
        <v>0</v>
      </c>
      <c r="BK79" s="3">
        <v>0</v>
      </c>
      <c r="BL79" s="3">
        <v>0</v>
      </c>
      <c r="BM79" s="3">
        <v>0</v>
      </c>
      <c r="BN79" s="3">
        <v>1</v>
      </c>
      <c r="BO79" s="3">
        <v>0</v>
      </c>
      <c r="BP79" s="3">
        <v>1</v>
      </c>
      <c r="BQ79" s="3">
        <v>0</v>
      </c>
      <c r="BR79" s="3">
        <v>0</v>
      </c>
      <c r="BS79" s="3">
        <v>-9</v>
      </c>
      <c r="BT79" s="3">
        <v>3</v>
      </c>
      <c r="BU79" s="3">
        <v>73</v>
      </c>
      <c r="BV79" s="3">
        <v>40</v>
      </c>
      <c r="BW79" s="3" t="s">
        <v>70</v>
      </c>
      <c r="BX79" s="3" t="s">
        <v>73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15">
      <c r="A80" t="s">
        <v>160</v>
      </c>
      <c r="B80" t="str">
        <f>LEFT(A80,10)</f>
        <v>Ladyburn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  <c r="V80" s="3">
        <v>1</v>
      </c>
      <c r="W80" s="3">
        <v>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0</v>
      </c>
      <c r="AE80" s="3">
        <v>0</v>
      </c>
      <c r="AF80" s="3">
        <v>0</v>
      </c>
      <c r="AG80" s="3">
        <v>0</v>
      </c>
      <c r="AH80" s="3">
        <v>1</v>
      </c>
      <c r="AI80" s="3">
        <v>0</v>
      </c>
      <c r="AJ80" s="3">
        <v>0</v>
      </c>
      <c r="AK80" s="3">
        <v>0</v>
      </c>
      <c r="AL80" s="3">
        <v>1</v>
      </c>
      <c r="AM80" s="3">
        <v>0</v>
      </c>
      <c r="AN80" s="3">
        <v>0</v>
      </c>
      <c r="AO80" s="3">
        <v>1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1</v>
      </c>
      <c r="AV80" s="3">
        <v>0</v>
      </c>
      <c r="AW80" s="3">
        <v>0</v>
      </c>
      <c r="AX80" s="3">
        <v>0</v>
      </c>
      <c r="AY80" s="3">
        <v>1</v>
      </c>
      <c r="AZ80" s="3">
        <v>0</v>
      </c>
      <c r="BA80" s="3">
        <v>1</v>
      </c>
      <c r="BB80" s="3">
        <v>0</v>
      </c>
      <c r="BC80" s="3">
        <v>1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20</v>
      </c>
      <c r="BT80" s="3">
        <v>2</v>
      </c>
      <c r="BU80" s="3">
        <v>57</v>
      </c>
      <c r="BV80" s="3">
        <v>46</v>
      </c>
      <c r="BW80" s="3" t="s">
        <v>79</v>
      </c>
      <c r="BX80" s="3" t="s">
        <v>80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0</v>
      </c>
      <c r="CG80">
        <v>0</v>
      </c>
    </row>
    <row r="81" spans="1:85" x14ac:dyDescent="0.15">
      <c r="A81" t="s">
        <v>161</v>
      </c>
      <c r="B81" t="str">
        <f>LEFT(A81,10)</f>
        <v>Lagavulin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s="3">
        <v>0</v>
      </c>
      <c r="R81" s="3">
        <v>1</v>
      </c>
      <c r="S81" s="3">
        <v>0</v>
      </c>
      <c r="T81" s="3">
        <v>0</v>
      </c>
      <c r="U81" s="3">
        <v>0</v>
      </c>
      <c r="V81" s="3">
        <v>1</v>
      </c>
      <c r="W81" s="3">
        <v>0</v>
      </c>
      <c r="X81" s="3">
        <v>0</v>
      </c>
      <c r="Y81" s="3">
        <v>1</v>
      </c>
      <c r="Z81" s="3">
        <v>1</v>
      </c>
      <c r="AA81" s="3">
        <v>0</v>
      </c>
      <c r="AB81" s="3">
        <v>0</v>
      </c>
      <c r="AC81" s="3">
        <v>0</v>
      </c>
      <c r="AD81" s="3">
        <v>0</v>
      </c>
      <c r="AE81" s="3">
        <v>1</v>
      </c>
      <c r="AF81" s="3">
        <v>1</v>
      </c>
      <c r="AG81" s="3">
        <v>0</v>
      </c>
      <c r="AH81" s="3">
        <v>0</v>
      </c>
      <c r="AI81" s="3">
        <v>0</v>
      </c>
      <c r="AJ81" s="3">
        <v>1</v>
      </c>
      <c r="AK81" s="3">
        <v>0</v>
      </c>
      <c r="AL81" s="3">
        <v>1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</v>
      </c>
      <c r="AU81" s="3">
        <v>0</v>
      </c>
      <c r="AV81" s="3">
        <v>0</v>
      </c>
      <c r="AW81" s="3">
        <v>0</v>
      </c>
      <c r="AX81" s="3">
        <v>1</v>
      </c>
      <c r="AY81" s="3">
        <v>0</v>
      </c>
      <c r="AZ81" s="3">
        <v>0</v>
      </c>
      <c r="BA81" s="3">
        <v>1</v>
      </c>
      <c r="BB81" s="3">
        <v>0</v>
      </c>
      <c r="BC81" s="3">
        <v>1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1</v>
      </c>
      <c r="BJ81" s="3">
        <v>0</v>
      </c>
      <c r="BK81" s="3">
        <v>0</v>
      </c>
      <c r="BL81" s="3">
        <v>0</v>
      </c>
      <c r="BM81" s="3">
        <v>1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12</v>
      </c>
      <c r="BT81" s="3">
        <v>5</v>
      </c>
      <c r="BU81" s="3">
        <v>89</v>
      </c>
      <c r="BV81" s="3">
        <v>43</v>
      </c>
      <c r="BW81" s="3" t="s">
        <v>75</v>
      </c>
      <c r="BX81" s="3" t="s">
        <v>76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15">
      <c r="A82" t="s">
        <v>162</v>
      </c>
      <c r="B82" t="str">
        <f>LEFT(A82,10)</f>
        <v>Laphroaig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1</v>
      </c>
      <c r="Z82" s="3">
        <v>1</v>
      </c>
      <c r="AA82" s="3">
        <v>0</v>
      </c>
      <c r="AB82" s="3">
        <v>0</v>
      </c>
      <c r="AC82" s="3">
        <v>0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1</v>
      </c>
      <c r="AX82" s="3">
        <v>1</v>
      </c>
      <c r="AY82" s="3">
        <v>0</v>
      </c>
      <c r="AZ82" s="3">
        <v>1</v>
      </c>
      <c r="BA82" s="3">
        <v>1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10</v>
      </c>
      <c r="BT82" s="3">
        <v>4</v>
      </c>
      <c r="BU82" s="3">
        <v>86</v>
      </c>
      <c r="BV82" s="3">
        <v>43</v>
      </c>
      <c r="BW82" s="3" t="s">
        <v>75</v>
      </c>
      <c r="BX82" s="3" t="s">
        <v>76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15">
      <c r="A83" t="s">
        <v>163</v>
      </c>
      <c r="B83" t="str">
        <f>LEFT(A83,10)</f>
        <v>Linkwood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3">
        <v>0</v>
      </c>
      <c r="R83" s="3">
        <v>0</v>
      </c>
      <c r="S83" s="3">
        <v>1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</v>
      </c>
      <c r="AA83" s="3">
        <v>0</v>
      </c>
      <c r="AB83" s="3">
        <v>1</v>
      </c>
      <c r="AC83" s="3">
        <v>0</v>
      </c>
      <c r="AD83" s="3">
        <v>1</v>
      </c>
      <c r="AE83" s="3">
        <v>0</v>
      </c>
      <c r="AF83" s="3">
        <v>1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</v>
      </c>
      <c r="AM83" s="3">
        <v>0</v>
      </c>
      <c r="AN83" s="3">
        <v>0</v>
      </c>
      <c r="AO83" s="3">
        <v>1</v>
      </c>
      <c r="AP83" s="3">
        <v>0</v>
      </c>
      <c r="AQ83" s="3">
        <v>0</v>
      </c>
      <c r="AR83" s="3">
        <v>0</v>
      </c>
      <c r="AS83" s="3">
        <v>0</v>
      </c>
      <c r="AT83" s="3">
        <v>1</v>
      </c>
      <c r="AU83" s="3">
        <v>1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1</v>
      </c>
      <c r="BB83" s="3">
        <v>0</v>
      </c>
      <c r="BC83" s="3">
        <v>0</v>
      </c>
      <c r="BD83" s="3">
        <v>0</v>
      </c>
      <c r="BE83" s="3">
        <v>1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12</v>
      </c>
      <c r="BT83" s="3">
        <v>4</v>
      </c>
      <c r="BU83" s="3">
        <v>83</v>
      </c>
      <c r="BV83" s="3">
        <v>40</v>
      </c>
      <c r="BW83" s="3" t="s">
        <v>70</v>
      </c>
      <c r="BX83" s="3" t="s">
        <v>73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15">
      <c r="A84" t="s">
        <v>164</v>
      </c>
      <c r="B84" t="str">
        <f>LEFT(A84,10)</f>
        <v>Littlemill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3">
        <v>0</v>
      </c>
      <c r="R84" s="3">
        <v>1</v>
      </c>
      <c r="S84" s="3">
        <v>1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1</v>
      </c>
      <c r="AD84" s="3">
        <v>1</v>
      </c>
      <c r="AE84" s="3">
        <v>0</v>
      </c>
      <c r="AF84" s="3">
        <v>0</v>
      </c>
      <c r="AG84" s="3">
        <v>0</v>
      </c>
      <c r="AH84" s="3">
        <v>1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1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1</v>
      </c>
      <c r="BB84" s="3">
        <v>0</v>
      </c>
      <c r="BC84" s="3">
        <v>0</v>
      </c>
      <c r="BD84" s="3">
        <v>0</v>
      </c>
      <c r="BE84" s="3">
        <v>1</v>
      </c>
      <c r="BF84" s="3">
        <v>0</v>
      </c>
      <c r="BG84" s="3">
        <v>1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8</v>
      </c>
      <c r="BT84" s="3">
        <v>4</v>
      </c>
      <c r="BU84" s="3">
        <v>83</v>
      </c>
      <c r="BV84" s="3">
        <v>43</v>
      </c>
      <c r="BW84" s="3" t="s">
        <v>79</v>
      </c>
      <c r="BX84" s="3" t="s">
        <v>165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</row>
    <row r="85" spans="1:85" x14ac:dyDescent="0.15">
      <c r="A85" t="s">
        <v>166</v>
      </c>
      <c r="B85" t="str">
        <f>LEFT(A85,10)</f>
        <v>Lochnagar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1</v>
      </c>
      <c r="AE85" s="3">
        <v>1</v>
      </c>
      <c r="AF85" s="3">
        <v>0</v>
      </c>
      <c r="AG85" s="3">
        <v>1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1</v>
      </c>
      <c r="AP85" s="3">
        <v>0</v>
      </c>
      <c r="AQ85" s="3">
        <v>0</v>
      </c>
      <c r="AR85" s="3">
        <v>1</v>
      </c>
      <c r="AS85" s="3">
        <v>0</v>
      </c>
      <c r="AT85" s="3">
        <v>1</v>
      </c>
      <c r="AU85" s="3">
        <v>1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1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1</v>
      </c>
      <c r="BJ85" s="3">
        <v>1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12</v>
      </c>
      <c r="BT85" s="3">
        <v>4</v>
      </c>
      <c r="BU85" s="3">
        <v>80</v>
      </c>
      <c r="BV85" s="3">
        <v>43</v>
      </c>
      <c r="BW85" s="3" t="s">
        <v>70</v>
      </c>
      <c r="BX85" s="3" t="s">
        <v>116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x14ac:dyDescent="0.15">
      <c r="A86" t="s">
        <v>167</v>
      </c>
      <c r="B86" t="str">
        <f>LEFT(A86,10)</f>
        <v>Lochside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</v>
      </c>
      <c r="X86" s="3">
        <v>0</v>
      </c>
      <c r="Y86" s="3">
        <v>0</v>
      </c>
      <c r="Z86" s="3">
        <v>1</v>
      </c>
      <c r="AA86" s="3">
        <v>0</v>
      </c>
      <c r="AB86" s="3">
        <v>1</v>
      </c>
      <c r="AC86" s="3">
        <v>1</v>
      </c>
      <c r="AD86" s="3">
        <v>1</v>
      </c>
      <c r="AE86" s="3">
        <v>0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0</v>
      </c>
      <c r="AL86" s="3">
        <v>1</v>
      </c>
      <c r="AM86" s="3">
        <v>1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1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1</v>
      </c>
      <c r="BQ86" s="3">
        <v>0</v>
      </c>
      <c r="BR86" s="3">
        <v>0</v>
      </c>
      <c r="BS86" s="3">
        <v>-9</v>
      </c>
      <c r="BT86" s="3">
        <v>3</v>
      </c>
      <c r="BU86" s="3">
        <v>71</v>
      </c>
      <c r="BV86" s="3">
        <v>40</v>
      </c>
      <c r="BW86" s="3" t="s">
        <v>70</v>
      </c>
      <c r="BX86" s="3" t="s">
        <v>116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15">
      <c r="A87" t="s">
        <v>168</v>
      </c>
      <c r="B87" t="str">
        <f>LEFT(A87,10)</f>
        <v>Longmorn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</v>
      </c>
      <c r="Y87" s="3">
        <v>0</v>
      </c>
      <c r="Z87" s="3">
        <v>0</v>
      </c>
      <c r="AA87" s="3">
        <v>0</v>
      </c>
      <c r="AB87" s="3">
        <v>1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1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1</v>
      </c>
      <c r="AR87" s="3">
        <v>1</v>
      </c>
      <c r="AS87" s="3">
        <v>1</v>
      </c>
      <c r="AT87" s="3">
        <v>0</v>
      </c>
      <c r="AU87" s="3">
        <v>1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1</v>
      </c>
      <c r="BF87" s="3">
        <v>1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12</v>
      </c>
      <c r="BT87" s="3">
        <v>4</v>
      </c>
      <c r="BU87" s="3">
        <v>85</v>
      </c>
      <c r="BV87" s="3">
        <v>40</v>
      </c>
      <c r="BW87" s="3" t="s">
        <v>70</v>
      </c>
      <c r="BX87" s="3" t="s">
        <v>73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15">
      <c r="A88" t="s">
        <v>169</v>
      </c>
      <c r="B88" t="str">
        <f>LEFT(A88,10)</f>
        <v>Macallan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 s="3">
        <v>0</v>
      </c>
      <c r="R88" s="3">
        <v>0</v>
      </c>
      <c r="S88" s="3">
        <v>1</v>
      </c>
      <c r="T88" s="3">
        <v>0</v>
      </c>
      <c r="U88" s="3">
        <v>0</v>
      </c>
      <c r="V88" s="3">
        <v>0</v>
      </c>
      <c r="W88" s="3">
        <v>1</v>
      </c>
      <c r="X88" s="3">
        <v>0</v>
      </c>
      <c r="Y88" s="3">
        <v>0</v>
      </c>
      <c r="Z88" s="3">
        <v>1</v>
      </c>
      <c r="AA88" s="3">
        <v>0</v>
      </c>
      <c r="AB88" s="3">
        <v>1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1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1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1</v>
      </c>
      <c r="BK88" s="3">
        <v>1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10</v>
      </c>
      <c r="BT88" s="3">
        <v>5</v>
      </c>
      <c r="BU88" s="3">
        <v>87</v>
      </c>
      <c r="BV88" s="3">
        <v>40</v>
      </c>
      <c r="BW88" s="3" t="s">
        <v>70</v>
      </c>
      <c r="BX88" s="3" t="s">
        <v>73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x14ac:dyDescent="0.15">
      <c r="A89" t="s">
        <v>170</v>
      </c>
      <c r="B89" t="str">
        <f>LEFT(A89,10)</f>
        <v>Millburn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 s="3">
        <v>1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1</v>
      </c>
      <c r="AA89" s="3">
        <v>0</v>
      </c>
      <c r="AB89" s="3">
        <v>1</v>
      </c>
      <c r="AC89" s="3">
        <v>0</v>
      </c>
      <c r="AD89" s="3">
        <v>0</v>
      </c>
      <c r="AE89" s="3">
        <v>1</v>
      </c>
      <c r="AF89" s="3">
        <v>0</v>
      </c>
      <c r="AG89" s="3">
        <v>1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1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1</v>
      </c>
      <c r="AU89" s="3">
        <v>1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1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1</v>
      </c>
      <c r="BQ89" s="3">
        <v>0</v>
      </c>
      <c r="BR89" s="3">
        <v>0</v>
      </c>
      <c r="BS89" s="3">
        <v>-9</v>
      </c>
      <c r="BT89" s="3">
        <v>3</v>
      </c>
      <c r="BU89" s="3">
        <v>76</v>
      </c>
      <c r="BV89" s="3">
        <v>40</v>
      </c>
      <c r="BW89" s="3" t="s">
        <v>70</v>
      </c>
      <c r="BX89" s="3" t="s">
        <v>73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15">
      <c r="A90" t="s">
        <v>171</v>
      </c>
      <c r="B90" t="str">
        <f>LEFT(A90,10)</f>
        <v>Miltonduff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3">
        <v>1</v>
      </c>
      <c r="R90" s="3">
        <v>1</v>
      </c>
      <c r="S90" s="3">
        <v>0</v>
      </c>
      <c r="T90" s="3">
        <v>0</v>
      </c>
      <c r="U90" s="3">
        <v>0</v>
      </c>
      <c r="V90" s="3">
        <v>1</v>
      </c>
      <c r="W90" s="3">
        <v>0</v>
      </c>
      <c r="X90" s="3">
        <v>1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1</v>
      </c>
      <c r="AE90" s="3">
        <v>0</v>
      </c>
      <c r="AF90" s="3">
        <v>0</v>
      </c>
      <c r="AG90" s="3">
        <v>1</v>
      </c>
      <c r="AH90" s="3">
        <v>0</v>
      </c>
      <c r="AI90" s="3">
        <v>1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1</v>
      </c>
      <c r="AR90" s="3">
        <v>0</v>
      </c>
      <c r="AS90" s="3">
        <v>0</v>
      </c>
      <c r="AT90" s="3">
        <v>0</v>
      </c>
      <c r="AU90" s="3">
        <v>1</v>
      </c>
      <c r="AV90" s="3">
        <v>0</v>
      </c>
      <c r="AW90" s="3">
        <v>0</v>
      </c>
      <c r="AX90" s="3">
        <v>0</v>
      </c>
      <c r="AY90" s="3">
        <v>1</v>
      </c>
      <c r="AZ90" s="3">
        <v>0</v>
      </c>
      <c r="BA90" s="3">
        <v>1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1</v>
      </c>
      <c r="BK90" s="3">
        <v>0</v>
      </c>
      <c r="BL90" s="3">
        <v>0</v>
      </c>
      <c r="BM90" s="3">
        <v>0</v>
      </c>
      <c r="BN90" s="3">
        <v>1</v>
      </c>
      <c r="BO90" s="3">
        <v>0</v>
      </c>
      <c r="BP90" s="3">
        <v>0</v>
      </c>
      <c r="BQ90" s="3">
        <v>0</v>
      </c>
      <c r="BR90" s="3">
        <v>0</v>
      </c>
      <c r="BS90" s="3">
        <v>12</v>
      </c>
      <c r="BT90" s="3">
        <v>3</v>
      </c>
      <c r="BU90" s="3">
        <v>76</v>
      </c>
      <c r="BV90" s="3">
        <v>43</v>
      </c>
      <c r="BW90" s="3" t="s">
        <v>70</v>
      </c>
      <c r="BX90" s="3" t="s">
        <v>73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15">
      <c r="A91" t="s">
        <v>172</v>
      </c>
      <c r="B91" t="str">
        <f>LEFT(A91,10)</f>
        <v>Mortlach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 s="3">
        <v>0</v>
      </c>
      <c r="R91" s="3">
        <v>1</v>
      </c>
      <c r="S91" s="3">
        <v>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1</v>
      </c>
      <c r="AC91" s="3">
        <v>0</v>
      </c>
      <c r="AD91" s="3">
        <v>1</v>
      </c>
      <c r="AE91" s="3">
        <v>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1</v>
      </c>
      <c r="AS91" s="3">
        <v>0</v>
      </c>
      <c r="AT91" s="3">
        <v>1</v>
      </c>
      <c r="AU91" s="3">
        <v>1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1</v>
      </c>
      <c r="BQ91" s="3">
        <v>0</v>
      </c>
      <c r="BR91" s="3">
        <v>0</v>
      </c>
      <c r="BS91" s="3">
        <v>12</v>
      </c>
      <c r="BT91" s="3">
        <v>4</v>
      </c>
      <c r="BU91" s="3">
        <v>81</v>
      </c>
      <c r="BV91" s="3">
        <v>40</v>
      </c>
      <c r="BW91" s="3" t="s">
        <v>70</v>
      </c>
      <c r="BX91" s="3" t="s">
        <v>73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x14ac:dyDescent="0.15">
      <c r="A92" t="s">
        <v>173</v>
      </c>
      <c r="B92" t="str">
        <f>LEFT(A92,10)</f>
        <v>North Port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3">
        <v>0</v>
      </c>
      <c r="R92" s="3">
        <v>1</v>
      </c>
      <c r="S92" s="3">
        <v>0</v>
      </c>
      <c r="T92" s="3">
        <v>0</v>
      </c>
      <c r="U92" s="3">
        <v>0</v>
      </c>
      <c r="V92" s="3">
        <v>1</v>
      </c>
      <c r="W92" s="3">
        <v>0</v>
      </c>
      <c r="X92" s="3">
        <v>0</v>
      </c>
      <c r="Y92" s="3">
        <v>0</v>
      </c>
      <c r="Z92" s="3">
        <v>1</v>
      </c>
      <c r="AA92" s="3">
        <v>0</v>
      </c>
      <c r="AB92" s="3">
        <v>0</v>
      </c>
      <c r="AC92" s="3">
        <v>0</v>
      </c>
      <c r="AD92" s="3">
        <v>1</v>
      </c>
      <c r="AE92" s="3">
        <v>0</v>
      </c>
      <c r="AF92" s="3">
        <v>0</v>
      </c>
      <c r="AG92" s="3">
        <v>0</v>
      </c>
      <c r="AH92" s="3">
        <v>1</v>
      </c>
      <c r="AI92" s="3">
        <v>0</v>
      </c>
      <c r="AJ92" s="3">
        <v>0</v>
      </c>
      <c r="AK92" s="3">
        <v>1</v>
      </c>
      <c r="AL92" s="3">
        <v>1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1</v>
      </c>
      <c r="AU92" s="3">
        <v>1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1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-9</v>
      </c>
      <c r="BT92" s="3">
        <v>2</v>
      </c>
      <c r="BU92" s="3">
        <v>64</v>
      </c>
      <c r="BV92" s="3">
        <v>40</v>
      </c>
      <c r="BW92" s="3" t="s">
        <v>70</v>
      </c>
      <c r="BX92" s="3" t="s">
        <v>116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15">
      <c r="A93" t="s">
        <v>174</v>
      </c>
      <c r="B93" t="str">
        <f>LEFT(A93,10)</f>
        <v>Oban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 s="3">
        <v>0</v>
      </c>
      <c r="R93" s="3">
        <v>1</v>
      </c>
      <c r="S93" s="3">
        <v>1</v>
      </c>
      <c r="T93" s="3">
        <v>0</v>
      </c>
      <c r="U93" s="3">
        <v>1</v>
      </c>
      <c r="V93" s="3">
        <v>0</v>
      </c>
      <c r="W93" s="3">
        <v>0</v>
      </c>
      <c r="X93" s="3">
        <v>0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1</v>
      </c>
      <c r="AE93" s="3">
        <v>1</v>
      </c>
      <c r="AF93" s="3">
        <v>0</v>
      </c>
      <c r="AG93" s="3">
        <v>1</v>
      </c>
      <c r="AH93" s="3">
        <v>0</v>
      </c>
      <c r="AI93" s="3">
        <v>1</v>
      </c>
      <c r="AJ93" s="3">
        <v>0</v>
      </c>
      <c r="AK93" s="3">
        <v>0</v>
      </c>
      <c r="AL93" s="3">
        <v>1</v>
      </c>
      <c r="AM93" s="3">
        <v>0</v>
      </c>
      <c r="AN93" s="3">
        <v>0</v>
      </c>
      <c r="AO93" s="3">
        <v>0</v>
      </c>
      <c r="AP93" s="3">
        <v>1</v>
      </c>
      <c r="AQ93" s="3">
        <v>0</v>
      </c>
      <c r="AR93" s="3">
        <v>1</v>
      </c>
      <c r="AS93" s="3">
        <v>0</v>
      </c>
      <c r="AT93" s="3">
        <v>1</v>
      </c>
      <c r="AU93" s="3">
        <v>1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1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1</v>
      </c>
      <c r="BK93" s="3">
        <v>1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12</v>
      </c>
      <c r="BT93" s="3">
        <v>4</v>
      </c>
      <c r="BU93" s="3">
        <v>76</v>
      </c>
      <c r="BV93" s="3">
        <v>43</v>
      </c>
      <c r="BW93" s="3" t="s">
        <v>70</v>
      </c>
      <c r="BX93" s="3" t="s">
        <v>80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15">
      <c r="A94" t="s">
        <v>175</v>
      </c>
      <c r="B94" t="str">
        <f>LEFT(A94,10)</f>
        <v>Port Ellen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 s="3">
        <v>1</v>
      </c>
      <c r="R94" s="3">
        <v>1</v>
      </c>
      <c r="S94" s="3">
        <v>1</v>
      </c>
      <c r="T94" s="3">
        <v>0</v>
      </c>
      <c r="U94" s="3">
        <v>0</v>
      </c>
      <c r="V94" s="3">
        <v>0</v>
      </c>
      <c r="W94" s="3">
        <v>0</v>
      </c>
      <c r="X94" s="3">
        <v>1</v>
      </c>
      <c r="Y94" s="3">
        <v>1</v>
      </c>
      <c r="Z94" s="3">
        <v>0</v>
      </c>
      <c r="AA94" s="3">
        <v>1</v>
      </c>
      <c r="AB94" s="3">
        <v>0</v>
      </c>
      <c r="AC94" s="3">
        <v>0</v>
      </c>
      <c r="AD94" s="3">
        <v>1</v>
      </c>
      <c r="AE94" s="3">
        <v>0</v>
      </c>
      <c r="AF94" s="3">
        <v>0</v>
      </c>
      <c r="AG94" s="3">
        <v>1</v>
      </c>
      <c r="AH94" s="3">
        <v>0</v>
      </c>
      <c r="AI94" s="3">
        <v>0</v>
      </c>
      <c r="AJ94" s="3">
        <v>0</v>
      </c>
      <c r="AK94" s="3">
        <v>0</v>
      </c>
      <c r="AL94" s="3">
        <v>1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1</v>
      </c>
      <c r="AV94" s="3">
        <v>1</v>
      </c>
      <c r="AW94" s="3">
        <v>0</v>
      </c>
      <c r="AX94" s="3">
        <v>0</v>
      </c>
      <c r="AY94" s="3">
        <v>1</v>
      </c>
      <c r="AZ94" s="3">
        <v>0</v>
      </c>
      <c r="BA94" s="3">
        <v>0</v>
      </c>
      <c r="BB94" s="3">
        <v>0</v>
      </c>
      <c r="BC94" s="3">
        <v>1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1</v>
      </c>
      <c r="BL94" s="3">
        <v>1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-9</v>
      </c>
      <c r="BT94" s="3">
        <v>4</v>
      </c>
      <c r="BU94" s="3">
        <v>79</v>
      </c>
      <c r="BV94" s="3">
        <v>40</v>
      </c>
      <c r="BW94" s="3" t="s">
        <v>75</v>
      </c>
      <c r="BX94" s="3" t="s">
        <v>76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</row>
    <row r="95" spans="1:85" x14ac:dyDescent="0.15">
      <c r="A95" t="s">
        <v>176</v>
      </c>
      <c r="B95" t="str">
        <f>LEFT(A95,10)</f>
        <v>Pulteney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1</v>
      </c>
      <c r="W95" s="3">
        <v>0</v>
      </c>
      <c r="X95" s="3">
        <v>0</v>
      </c>
      <c r="Y95" s="3">
        <v>1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1</v>
      </c>
      <c r="AI95" s="3">
        <v>1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1</v>
      </c>
      <c r="AQ95" s="3">
        <v>0</v>
      </c>
      <c r="AR95" s="3">
        <v>0</v>
      </c>
      <c r="AS95" s="3">
        <v>0</v>
      </c>
      <c r="AT95" s="3">
        <v>0</v>
      </c>
      <c r="AU95" s="3">
        <v>1</v>
      </c>
      <c r="AV95" s="3">
        <v>1</v>
      </c>
      <c r="AW95" s="3">
        <v>0</v>
      </c>
      <c r="AX95" s="3">
        <v>1</v>
      </c>
      <c r="AY95" s="3">
        <v>0</v>
      </c>
      <c r="AZ95" s="3">
        <v>0</v>
      </c>
      <c r="BA95" s="3">
        <v>0</v>
      </c>
      <c r="BB95" s="3">
        <v>1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1</v>
      </c>
      <c r="BN95" s="3">
        <v>0</v>
      </c>
      <c r="BO95" s="3">
        <v>0</v>
      </c>
      <c r="BP95" s="3">
        <v>1</v>
      </c>
      <c r="BQ95" s="3">
        <v>0</v>
      </c>
      <c r="BR95" s="3">
        <v>0</v>
      </c>
      <c r="BS95" s="3">
        <v>8</v>
      </c>
      <c r="BT95" s="3">
        <v>3</v>
      </c>
      <c r="BU95" s="3">
        <v>77</v>
      </c>
      <c r="BV95" s="3">
        <v>40</v>
      </c>
      <c r="BW95" s="3" t="s">
        <v>70</v>
      </c>
      <c r="BX95" s="3" t="s">
        <v>83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</row>
    <row r="96" spans="1:85" x14ac:dyDescent="0.15">
      <c r="A96" t="s">
        <v>177</v>
      </c>
      <c r="B96" t="str">
        <f>LEFT(A96,10)</f>
        <v>Rosebank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 s="3">
        <v>1</v>
      </c>
      <c r="R96" s="3">
        <v>0</v>
      </c>
      <c r="S96" s="3">
        <v>0</v>
      </c>
      <c r="T96" s="3">
        <v>0</v>
      </c>
      <c r="U96" s="3">
        <v>0</v>
      </c>
      <c r="V96" s="3">
        <v>1</v>
      </c>
      <c r="W96" s="3">
        <v>0</v>
      </c>
      <c r="X96" s="3">
        <v>1</v>
      </c>
      <c r="Y96" s="3">
        <v>0</v>
      </c>
      <c r="Z96" s="3">
        <v>1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1</v>
      </c>
      <c r="AH96" s="3">
        <v>1</v>
      </c>
      <c r="AI96" s="3">
        <v>0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1</v>
      </c>
      <c r="AS96" s="3">
        <v>1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1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8</v>
      </c>
      <c r="BT96" s="3">
        <v>4</v>
      </c>
      <c r="BU96" s="3">
        <v>76</v>
      </c>
      <c r="BV96" s="3">
        <v>40</v>
      </c>
      <c r="BW96" s="3" t="s">
        <v>79</v>
      </c>
      <c r="BX96" s="3" t="s">
        <v>178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</row>
    <row r="97" spans="1:85" x14ac:dyDescent="0.15">
      <c r="A97" t="s">
        <v>179</v>
      </c>
      <c r="B97" t="str">
        <f>LEFT(A97,10)</f>
        <v>Saint Magd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 s="3">
        <v>0</v>
      </c>
      <c r="R97" s="3">
        <v>1</v>
      </c>
      <c r="S97" s="3">
        <v>0</v>
      </c>
      <c r="T97" s="3">
        <v>0</v>
      </c>
      <c r="U97" s="3">
        <v>0</v>
      </c>
      <c r="V97" s="3">
        <v>1</v>
      </c>
      <c r="W97" s="3">
        <v>0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s="3">
        <v>0</v>
      </c>
      <c r="AD97" s="3">
        <v>1</v>
      </c>
      <c r="AE97" s="3">
        <v>0</v>
      </c>
      <c r="AF97" s="3">
        <v>0</v>
      </c>
      <c r="AG97" s="3">
        <v>1</v>
      </c>
      <c r="AH97" s="3">
        <v>1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1</v>
      </c>
      <c r="AT97" s="3">
        <v>1</v>
      </c>
      <c r="AU97" s="3">
        <v>1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1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1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18</v>
      </c>
      <c r="BT97" s="3">
        <v>2</v>
      </c>
      <c r="BU97" s="3">
        <v>67</v>
      </c>
      <c r="BV97" s="3">
        <v>40</v>
      </c>
      <c r="BW97" s="3" t="s">
        <v>79</v>
      </c>
      <c r="BX97" s="3" t="s">
        <v>178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</row>
    <row r="98" spans="1:85" x14ac:dyDescent="0.15">
      <c r="A98" t="s">
        <v>180</v>
      </c>
      <c r="B98" t="str">
        <f>LEFT(A98,10)</f>
        <v>Scapa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1</v>
      </c>
      <c r="X98" s="3">
        <v>1</v>
      </c>
      <c r="Y98" s="3">
        <v>1</v>
      </c>
      <c r="Z98" s="3">
        <v>0</v>
      </c>
      <c r="AA98" s="3">
        <v>0</v>
      </c>
      <c r="AB98" s="3">
        <v>0</v>
      </c>
      <c r="AC98" s="3">
        <v>0</v>
      </c>
      <c r="AD98" s="3">
        <v>1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1</v>
      </c>
      <c r="AY98" s="3">
        <v>0</v>
      </c>
      <c r="AZ98" s="3">
        <v>0</v>
      </c>
      <c r="BA98" s="3">
        <v>1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1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8</v>
      </c>
      <c r="BT98" s="3">
        <v>3</v>
      </c>
      <c r="BU98" s="3">
        <v>76</v>
      </c>
      <c r="BV98" s="3">
        <v>40</v>
      </c>
      <c r="BW98" s="3" t="s">
        <v>70</v>
      </c>
      <c r="BX98" s="3" t="s">
        <v>150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</row>
    <row r="99" spans="1:85" x14ac:dyDescent="0.15">
      <c r="A99" t="s">
        <v>181</v>
      </c>
      <c r="B99" t="str">
        <f>LEFT(A99,10)</f>
        <v>Singleton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1</v>
      </c>
      <c r="AA99" s="3">
        <v>0</v>
      </c>
      <c r="AB99" s="3">
        <v>0</v>
      </c>
      <c r="AC99" s="3">
        <v>0</v>
      </c>
      <c r="AD99" s="3">
        <v>1</v>
      </c>
      <c r="AE99" s="3">
        <v>0</v>
      </c>
      <c r="AF99" s="3">
        <v>0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  <c r="AN99" s="3">
        <v>0</v>
      </c>
      <c r="AO99" s="3">
        <v>0</v>
      </c>
      <c r="AP99" s="3">
        <v>0</v>
      </c>
      <c r="AQ99" s="3">
        <v>0</v>
      </c>
      <c r="AR99" s="3">
        <v>1</v>
      </c>
      <c r="AS99" s="3">
        <v>0</v>
      </c>
      <c r="AT99" s="3">
        <v>0</v>
      </c>
      <c r="AU99" s="3">
        <v>0</v>
      </c>
      <c r="AV99" s="3">
        <v>1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-9</v>
      </c>
      <c r="BT99" s="3">
        <v>4</v>
      </c>
      <c r="BU99" s="3">
        <v>79</v>
      </c>
      <c r="BV99" s="3">
        <v>40</v>
      </c>
      <c r="BW99" s="3" t="s">
        <v>70</v>
      </c>
      <c r="BX99" s="3" t="s">
        <v>73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15">
      <c r="A100" t="s">
        <v>182</v>
      </c>
      <c r="B100" t="str">
        <f>LEFT(A100,10)</f>
        <v>Speyburn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</v>
      </c>
      <c r="W100" s="3">
        <v>1</v>
      </c>
      <c r="X100" s="3">
        <v>0</v>
      </c>
      <c r="Y100" s="3">
        <v>0</v>
      </c>
      <c r="Z100" s="3">
        <v>1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</v>
      </c>
      <c r="AH100" s="3">
        <v>0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1</v>
      </c>
      <c r="AS100" s="3">
        <v>0</v>
      </c>
      <c r="AT100" s="3">
        <v>0</v>
      </c>
      <c r="AU100" s="3">
        <v>1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1</v>
      </c>
      <c r="BF100" s="3">
        <v>0</v>
      </c>
      <c r="BG100" s="3">
        <v>0</v>
      </c>
      <c r="BH100" s="3">
        <v>0</v>
      </c>
      <c r="BI100" s="3">
        <v>0</v>
      </c>
      <c r="BJ100" s="3">
        <v>1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1</v>
      </c>
      <c r="BS100" s="3">
        <v>-9</v>
      </c>
      <c r="BT100" s="3">
        <v>3</v>
      </c>
      <c r="BU100" s="3">
        <v>71</v>
      </c>
      <c r="BV100" s="3">
        <v>40</v>
      </c>
      <c r="BW100" s="3" t="s">
        <v>70</v>
      </c>
      <c r="BX100" s="3" t="s">
        <v>73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 x14ac:dyDescent="0.15">
      <c r="A101" t="s">
        <v>183</v>
      </c>
      <c r="B101" t="str">
        <f>LEFT(A101,10)</f>
        <v>Springbank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3">
        <v>0</v>
      </c>
      <c r="R101" s="3">
        <v>0</v>
      </c>
      <c r="S101" s="3">
        <v>1</v>
      </c>
      <c r="T101" s="3">
        <v>0</v>
      </c>
      <c r="U101" s="3">
        <v>1</v>
      </c>
      <c r="V101" s="3">
        <v>0</v>
      </c>
      <c r="W101" s="3">
        <v>0</v>
      </c>
      <c r="X101" s="3">
        <v>0</v>
      </c>
      <c r="Y101" s="3">
        <v>1</v>
      </c>
      <c r="Z101" s="3">
        <v>0</v>
      </c>
      <c r="AA101" s="3">
        <v>0</v>
      </c>
      <c r="AB101" s="3">
        <v>1</v>
      </c>
      <c r="AC101" s="3">
        <v>0</v>
      </c>
      <c r="AD101" s="3">
        <v>1</v>
      </c>
      <c r="AE101" s="3">
        <v>0</v>
      </c>
      <c r="AF101" s="3">
        <v>1</v>
      </c>
      <c r="AG101" s="3">
        <v>1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1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1</v>
      </c>
      <c r="AV101" s="3">
        <v>0</v>
      </c>
      <c r="AW101" s="3">
        <v>0</v>
      </c>
      <c r="AX101" s="3">
        <v>1</v>
      </c>
      <c r="AY101" s="3">
        <v>0</v>
      </c>
      <c r="AZ101" s="3">
        <v>0</v>
      </c>
      <c r="BA101" s="3">
        <v>0</v>
      </c>
      <c r="BB101" s="3">
        <v>1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1</v>
      </c>
      <c r="BK101" s="3">
        <v>0</v>
      </c>
      <c r="BL101" s="3">
        <v>0</v>
      </c>
      <c r="BM101" s="3">
        <v>1</v>
      </c>
      <c r="BN101" s="3">
        <v>0</v>
      </c>
      <c r="BO101" s="3">
        <v>0</v>
      </c>
      <c r="BP101" s="3">
        <v>0</v>
      </c>
      <c r="BQ101" s="3">
        <v>1</v>
      </c>
      <c r="BR101" s="3">
        <v>0</v>
      </c>
      <c r="BS101" s="3">
        <v>15</v>
      </c>
      <c r="BT101" s="3">
        <v>5</v>
      </c>
      <c r="BU101" s="3">
        <v>88</v>
      </c>
      <c r="BV101" s="3">
        <v>46</v>
      </c>
      <c r="BW101" s="3" t="s">
        <v>79</v>
      </c>
      <c r="BX101" s="3" t="s">
        <v>143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</row>
    <row r="102" spans="1:85" x14ac:dyDescent="0.15">
      <c r="A102" t="s">
        <v>184</v>
      </c>
      <c r="B102" t="s">
        <v>185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</v>
      </c>
      <c r="Y102" s="3">
        <v>1</v>
      </c>
      <c r="Z102" s="3">
        <v>0</v>
      </c>
      <c r="AA102" s="3">
        <v>0</v>
      </c>
      <c r="AB102" s="3">
        <v>0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1</v>
      </c>
      <c r="AK102" s="3">
        <v>0</v>
      </c>
      <c r="AL102" s="3">
        <v>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1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1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1</v>
      </c>
      <c r="BN102" s="3">
        <v>0</v>
      </c>
      <c r="BO102" s="3">
        <v>1</v>
      </c>
      <c r="BP102" s="3">
        <v>0</v>
      </c>
      <c r="BQ102" s="3">
        <v>0</v>
      </c>
      <c r="BR102" s="3">
        <v>0</v>
      </c>
      <c r="BS102" s="3">
        <v>14</v>
      </c>
      <c r="BT102" s="3">
        <v>5</v>
      </c>
      <c r="BU102" s="3">
        <v>90</v>
      </c>
      <c r="BV102" s="3">
        <v>46</v>
      </c>
      <c r="BW102" s="3" t="s">
        <v>79</v>
      </c>
      <c r="BX102" s="3" t="s">
        <v>143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0</v>
      </c>
    </row>
    <row r="103" spans="1:85" x14ac:dyDescent="0.15">
      <c r="A103" t="s">
        <v>186</v>
      </c>
      <c r="B103" t="str">
        <f>LEFT(A103,10)</f>
        <v>Strathisla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3">
        <v>1</v>
      </c>
      <c r="AC103" s="3">
        <v>0</v>
      </c>
      <c r="AD103" s="3">
        <v>1</v>
      </c>
      <c r="AE103" s="3">
        <v>0</v>
      </c>
      <c r="AF103" s="3">
        <v>0</v>
      </c>
      <c r="AG103" s="3">
        <v>0</v>
      </c>
      <c r="AH103" s="3">
        <v>0</v>
      </c>
      <c r="AI103" s="3">
        <v>1</v>
      </c>
      <c r="AJ103" s="3">
        <v>0</v>
      </c>
      <c r="AK103" s="3">
        <v>0</v>
      </c>
      <c r="AL103" s="3">
        <v>1</v>
      </c>
      <c r="AM103" s="3">
        <v>1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1</v>
      </c>
      <c r="AT103" s="3">
        <v>0</v>
      </c>
      <c r="AU103" s="3">
        <v>1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1</v>
      </c>
      <c r="BB103" s="3">
        <v>0</v>
      </c>
      <c r="BC103" s="3">
        <v>1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</v>
      </c>
      <c r="BP103" s="3">
        <v>0</v>
      </c>
      <c r="BQ103" s="3">
        <v>0</v>
      </c>
      <c r="BR103" s="3">
        <v>0</v>
      </c>
      <c r="BS103" s="3">
        <v>8</v>
      </c>
      <c r="BT103" s="3">
        <v>3</v>
      </c>
      <c r="BU103" s="3">
        <v>79</v>
      </c>
      <c r="BV103" s="3">
        <v>40</v>
      </c>
      <c r="BW103" s="3" t="s">
        <v>70</v>
      </c>
      <c r="BX103" s="3" t="s">
        <v>73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15">
      <c r="A104" t="s">
        <v>187</v>
      </c>
      <c r="B104" t="str">
        <f>LEFT(A104,10)</f>
        <v>Talisker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 s="3">
        <v>0</v>
      </c>
      <c r="R104" s="3">
        <v>1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</v>
      </c>
      <c r="Z104" s="3">
        <v>0</v>
      </c>
      <c r="AA104" s="3">
        <v>0</v>
      </c>
      <c r="AB104" s="3">
        <v>1</v>
      </c>
      <c r="AC104" s="3">
        <v>0</v>
      </c>
      <c r="AD104" s="3">
        <v>0</v>
      </c>
      <c r="AE104" s="3">
        <v>1</v>
      </c>
      <c r="AF104" s="3">
        <v>0</v>
      </c>
      <c r="AG104" s="3">
        <v>0</v>
      </c>
      <c r="AH104" s="3">
        <v>0</v>
      </c>
      <c r="AI104" s="3">
        <v>0</v>
      </c>
      <c r="AJ104" s="3">
        <v>1</v>
      </c>
      <c r="AK104" s="3">
        <v>0</v>
      </c>
      <c r="AL104" s="3">
        <v>0</v>
      </c>
      <c r="AM104" s="3">
        <v>0</v>
      </c>
      <c r="AN104" s="3">
        <v>1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1</v>
      </c>
      <c r="AU104" s="3">
        <v>1</v>
      </c>
      <c r="AV104" s="3">
        <v>1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1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1</v>
      </c>
      <c r="BL104" s="3">
        <v>0</v>
      </c>
      <c r="BM104" s="3">
        <v>0</v>
      </c>
      <c r="BN104" s="3">
        <v>0</v>
      </c>
      <c r="BO104" s="3">
        <v>0</v>
      </c>
      <c r="BP104" s="3">
        <v>1</v>
      </c>
      <c r="BQ104" s="3">
        <v>0</v>
      </c>
      <c r="BR104" s="3">
        <v>0</v>
      </c>
      <c r="BS104" s="3">
        <v>10</v>
      </c>
      <c r="BT104" s="3">
        <v>4</v>
      </c>
      <c r="BU104" s="3">
        <v>90</v>
      </c>
      <c r="BV104" s="3">
        <v>45.8</v>
      </c>
      <c r="BW104" s="3" t="s">
        <v>70</v>
      </c>
      <c r="BX104" s="3" t="s">
        <v>188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</row>
    <row r="105" spans="1:85" x14ac:dyDescent="0.15">
      <c r="A105" t="s">
        <v>189</v>
      </c>
      <c r="B105" t="str">
        <f>LEFT(A105,10)</f>
        <v>Tamdhu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 s="3">
        <v>0</v>
      </c>
      <c r="R105" s="3">
        <v>1</v>
      </c>
      <c r="S105" s="3">
        <v>1</v>
      </c>
      <c r="T105" s="3">
        <v>1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1</v>
      </c>
      <c r="AA105" s="3">
        <v>0</v>
      </c>
      <c r="AB105" s="3">
        <v>0</v>
      </c>
      <c r="AC105" s="3">
        <v>0</v>
      </c>
      <c r="AD105" s="3">
        <v>1</v>
      </c>
      <c r="AE105" s="3">
        <v>0</v>
      </c>
      <c r="AF105" s="3">
        <v>1</v>
      </c>
      <c r="AG105" s="3">
        <v>0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1</v>
      </c>
      <c r="AV105" s="3">
        <v>0</v>
      </c>
      <c r="AW105" s="3">
        <v>0</v>
      </c>
      <c r="AX105" s="3">
        <v>0</v>
      </c>
      <c r="AY105" s="3">
        <v>1</v>
      </c>
      <c r="AZ105" s="3">
        <v>1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10</v>
      </c>
      <c r="BT105" s="3">
        <v>3</v>
      </c>
      <c r="BU105" s="3">
        <v>75</v>
      </c>
      <c r="BV105" s="3">
        <v>40</v>
      </c>
      <c r="BW105" s="3" t="s">
        <v>70</v>
      </c>
      <c r="BX105" s="3" t="s">
        <v>73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15">
      <c r="A106" t="s">
        <v>190</v>
      </c>
      <c r="B106" t="str">
        <f>LEFT(A106,10)</f>
        <v>Tamnavulin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3">
        <v>0</v>
      </c>
      <c r="R106" s="3">
        <v>1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1</v>
      </c>
      <c r="AH106" s="3">
        <v>1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1</v>
      </c>
      <c r="AS106" s="3">
        <v>1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1</v>
      </c>
      <c r="BO106" s="3">
        <v>0</v>
      </c>
      <c r="BP106" s="3">
        <v>0</v>
      </c>
      <c r="BQ106" s="3">
        <v>0</v>
      </c>
      <c r="BR106" s="3">
        <v>0</v>
      </c>
      <c r="BS106" s="3">
        <v>10</v>
      </c>
      <c r="BT106" s="3">
        <v>3</v>
      </c>
      <c r="BU106" s="3">
        <v>76</v>
      </c>
      <c r="BV106" s="3">
        <v>43</v>
      </c>
      <c r="BW106" s="3" t="s">
        <v>70</v>
      </c>
      <c r="BX106" s="3" t="s">
        <v>73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15">
      <c r="A107" t="s">
        <v>191</v>
      </c>
      <c r="B107" t="str">
        <f>LEFT(A107,10)</f>
        <v>Teaninich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s="3">
        <v>1</v>
      </c>
      <c r="R107" s="3">
        <v>1</v>
      </c>
      <c r="S107" s="3">
        <v>0</v>
      </c>
      <c r="T107" s="3">
        <v>0</v>
      </c>
      <c r="U107" s="3">
        <v>0</v>
      </c>
      <c r="V107" s="3">
        <v>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1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1</v>
      </c>
      <c r="AL107" s="3">
        <v>1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1</v>
      </c>
      <c r="AU107" s="3">
        <v>1</v>
      </c>
      <c r="AV107" s="3">
        <v>1</v>
      </c>
      <c r="AW107" s="3">
        <v>0</v>
      </c>
      <c r="AX107" s="3">
        <v>0</v>
      </c>
      <c r="AY107" s="3">
        <v>0</v>
      </c>
      <c r="AZ107" s="3">
        <v>0</v>
      </c>
      <c r="BA107" s="3">
        <v>1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-9</v>
      </c>
      <c r="BT107" s="3">
        <v>3</v>
      </c>
      <c r="BU107" s="3">
        <v>71</v>
      </c>
      <c r="BV107" s="3">
        <v>40</v>
      </c>
      <c r="BW107" s="3" t="s">
        <v>70</v>
      </c>
      <c r="BX107" s="3" t="s">
        <v>83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0</v>
      </c>
    </row>
    <row r="108" spans="1:85" x14ac:dyDescent="0.15">
      <c r="A108" t="s">
        <v>192</v>
      </c>
      <c r="B108" t="str">
        <f>LEFT(A108,10)</f>
        <v>Tobermory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3">
        <v>0</v>
      </c>
      <c r="R108" s="3">
        <v>1</v>
      </c>
      <c r="S108" s="3">
        <v>1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1</v>
      </c>
      <c r="AD108" s="3">
        <v>1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1</v>
      </c>
      <c r="AS108" s="3">
        <v>0</v>
      </c>
      <c r="AT108" s="3">
        <v>1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1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1</v>
      </c>
      <c r="BK108" s="3">
        <v>0</v>
      </c>
      <c r="BL108" s="3">
        <v>0</v>
      </c>
      <c r="BM108" s="3">
        <v>0</v>
      </c>
      <c r="BN108" s="3">
        <v>1</v>
      </c>
      <c r="BO108" s="3">
        <v>0</v>
      </c>
      <c r="BP108" s="3">
        <v>0</v>
      </c>
      <c r="BQ108" s="3">
        <v>0</v>
      </c>
      <c r="BR108" s="3">
        <v>0</v>
      </c>
      <c r="BS108" s="3">
        <v>-9</v>
      </c>
      <c r="BT108" s="3">
        <v>2</v>
      </c>
      <c r="BU108" s="3">
        <v>67</v>
      </c>
      <c r="BV108" s="3">
        <v>40</v>
      </c>
      <c r="BW108" s="3" t="s">
        <v>70</v>
      </c>
      <c r="BX108" s="3" t="s">
        <v>193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</row>
    <row r="109" spans="1:85" x14ac:dyDescent="0.15">
      <c r="A109" t="s">
        <v>194</v>
      </c>
      <c r="B109" t="str">
        <f>LEFT(A109,10)</f>
        <v>Tomatin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3">
        <v>1</v>
      </c>
      <c r="R109" s="3">
        <v>1</v>
      </c>
      <c r="S109" s="3">
        <v>1</v>
      </c>
      <c r="T109" s="3">
        <v>0</v>
      </c>
      <c r="U109" s="3">
        <v>1</v>
      </c>
      <c r="V109" s="3">
        <v>1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1</v>
      </c>
      <c r="AD109" s="3">
        <v>1</v>
      </c>
      <c r="AE109" s="3">
        <v>0</v>
      </c>
      <c r="AF109" s="3">
        <v>0</v>
      </c>
      <c r="AG109" s="3">
        <v>1</v>
      </c>
      <c r="AH109" s="3">
        <v>0</v>
      </c>
      <c r="AI109" s="3">
        <v>0</v>
      </c>
      <c r="AJ109" s="3">
        <v>0</v>
      </c>
      <c r="AK109" s="3">
        <v>0</v>
      </c>
      <c r="AL109" s="3">
        <v>1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1</v>
      </c>
      <c r="AV109" s="3">
        <v>1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1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10</v>
      </c>
      <c r="BT109" s="3">
        <v>3</v>
      </c>
      <c r="BU109" s="3">
        <v>75</v>
      </c>
      <c r="BV109" s="3">
        <v>40</v>
      </c>
      <c r="BW109" s="3" t="s">
        <v>70</v>
      </c>
      <c r="BX109" s="3" t="s">
        <v>73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15">
      <c r="A110" t="s">
        <v>195</v>
      </c>
      <c r="B110" t="str">
        <f>LEFT(A110,10)</f>
        <v>Tomintoul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3">
        <v>0</v>
      </c>
      <c r="AC110" s="3">
        <v>1</v>
      </c>
      <c r="AD110" s="3">
        <v>0</v>
      </c>
      <c r="AE110" s="3">
        <v>0</v>
      </c>
      <c r="AF110" s="3">
        <v>0</v>
      </c>
      <c r="AG110" s="3">
        <v>1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1</v>
      </c>
      <c r="AT110" s="3">
        <v>0</v>
      </c>
      <c r="AU110" s="3">
        <v>1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1</v>
      </c>
      <c r="BQ110" s="3">
        <v>0</v>
      </c>
      <c r="BR110" s="3">
        <v>0</v>
      </c>
      <c r="BS110" s="3">
        <v>12</v>
      </c>
      <c r="BT110" s="3">
        <v>3</v>
      </c>
      <c r="BU110" s="3">
        <v>76</v>
      </c>
      <c r="BV110" s="3">
        <v>40</v>
      </c>
      <c r="BW110" s="3" t="s">
        <v>70</v>
      </c>
      <c r="BX110" s="3" t="s">
        <v>73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 x14ac:dyDescent="0.15">
      <c r="A111" t="s">
        <v>196</v>
      </c>
      <c r="B111" t="str">
        <f>LEFT(A111,10)</f>
        <v>Tormore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3">
        <v>0</v>
      </c>
      <c r="R111" s="3">
        <v>1</v>
      </c>
      <c r="S111" s="3">
        <v>0</v>
      </c>
      <c r="T111" s="3">
        <v>0</v>
      </c>
      <c r="U111" s="3">
        <v>0</v>
      </c>
      <c r="V111" s="3">
        <v>1</v>
      </c>
      <c r="W111" s="3">
        <v>1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1</v>
      </c>
      <c r="AE111" s="3">
        <v>1</v>
      </c>
      <c r="AF111" s="3">
        <v>0</v>
      </c>
      <c r="AG111" s="3">
        <v>1</v>
      </c>
      <c r="AH111" s="3">
        <v>0</v>
      </c>
      <c r="AI111" s="3">
        <v>0</v>
      </c>
      <c r="AJ111" s="3">
        <v>0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1</v>
      </c>
      <c r="BA111" s="3">
        <v>0</v>
      </c>
      <c r="BB111" s="3">
        <v>0</v>
      </c>
      <c r="BC111" s="3">
        <v>0</v>
      </c>
      <c r="BD111" s="3">
        <v>0</v>
      </c>
      <c r="BE111" s="3">
        <v>1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1</v>
      </c>
      <c r="BR111" s="3">
        <v>0</v>
      </c>
      <c r="BS111" s="3">
        <v>10</v>
      </c>
      <c r="BT111" s="3">
        <v>3</v>
      </c>
      <c r="BU111" s="3">
        <v>76</v>
      </c>
      <c r="BV111" s="3">
        <v>43</v>
      </c>
      <c r="BW111" s="3" t="s">
        <v>70</v>
      </c>
      <c r="BX111" s="3" t="s">
        <v>73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x14ac:dyDescent="0.15">
      <c r="A112" t="s">
        <v>197</v>
      </c>
      <c r="B112" t="str">
        <f>LEFT(A112,10)</f>
        <v>Tullibardi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1</v>
      </c>
      <c r="AE112" s="3">
        <v>0</v>
      </c>
      <c r="AF112" s="3">
        <v>0</v>
      </c>
      <c r="AG112" s="3">
        <v>1</v>
      </c>
      <c r="AH112" s="3">
        <v>0</v>
      </c>
      <c r="AI112" s="3">
        <v>1</v>
      </c>
      <c r="AJ112" s="3">
        <v>0</v>
      </c>
      <c r="AK112" s="3">
        <v>1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1</v>
      </c>
      <c r="AR112" s="3">
        <v>1</v>
      </c>
      <c r="AS112" s="3">
        <v>1</v>
      </c>
      <c r="AT112" s="3">
        <v>0</v>
      </c>
      <c r="AU112" s="3">
        <v>1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1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1</v>
      </c>
      <c r="BK112" s="3">
        <v>0</v>
      </c>
      <c r="BL112" s="3">
        <v>0</v>
      </c>
      <c r="BM112" s="3">
        <v>0</v>
      </c>
      <c r="BN112" s="3">
        <v>1</v>
      </c>
      <c r="BO112" s="3">
        <v>0</v>
      </c>
      <c r="BP112" s="3">
        <v>0</v>
      </c>
      <c r="BQ112" s="3">
        <v>0</v>
      </c>
      <c r="BR112" s="3">
        <v>0</v>
      </c>
      <c r="BS112" s="3">
        <v>10</v>
      </c>
      <c r="BT112" s="3">
        <v>3</v>
      </c>
      <c r="BU112" s="3">
        <v>76</v>
      </c>
      <c r="BV112" s="3">
        <v>40</v>
      </c>
      <c r="BW112" s="3" t="s">
        <v>70</v>
      </c>
      <c r="BX112" s="3" t="s">
        <v>71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4" spans="3:85" x14ac:dyDescent="0.15">
      <c r="C114" s="3">
        <f t="shared" ref="C114:AH114" si="2">SUM(C4:C112)</f>
        <v>8</v>
      </c>
      <c r="D114" s="3">
        <f t="shared" si="2"/>
        <v>2</v>
      </c>
      <c r="E114" s="3">
        <f t="shared" si="2"/>
        <v>2</v>
      </c>
      <c r="F114" s="3">
        <f t="shared" si="2"/>
        <v>4</v>
      </c>
      <c r="G114" s="3">
        <f t="shared" si="2"/>
        <v>10</v>
      </c>
      <c r="H114" s="3">
        <f t="shared" si="2"/>
        <v>21</v>
      </c>
      <c r="I114" s="3">
        <f t="shared" si="2"/>
        <v>2</v>
      </c>
      <c r="J114" s="3">
        <f t="shared" si="2"/>
        <v>27</v>
      </c>
      <c r="K114" s="3">
        <f t="shared" si="2"/>
        <v>5</v>
      </c>
      <c r="L114" s="3">
        <f t="shared" si="2"/>
        <v>4</v>
      </c>
      <c r="M114" s="3">
        <f t="shared" si="2"/>
        <v>15</v>
      </c>
      <c r="N114" s="3">
        <f t="shared" si="2"/>
        <v>4</v>
      </c>
      <c r="O114" s="3">
        <f t="shared" si="2"/>
        <v>4</v>
      </c>
      <c r="P114" s="3">
        <f t="shared" si="2"/>
        <v>1</v>
      </c>
      <c r="Q114" s="3">
        <f t="shared" si="2"/>
        <v>41</v>
      </c>
      <c r="R114" s="3">
        <f t="shared" si="2"/>
        <v>53</v>
      </c>
      <c r="S114" s="3">
        <f t="shared" si="2"/>
        <v>45</v>
      </c>
      <c r="T114" s="3">
        <f t="shared" si="2"/>
        <v>14</v>
      </c>
      <c r="U114" s="3">
        <f t="shared" si="2"/>
        <v>19</v>
      </c>
      <c r="V114" s="3">
        <f t="shared" si="2"/>
        <v>38</v>
      </c>
      <c r="W114" s="3">
        <f t="shared" si="2"/>
        <v>32</v>
      </c>
      <c r="X114" s="3">
        <f t="shared" si="2"/>
        <v>28</v>
      </c>
      <c r="Y114" s="3">
        <f t="shared" si="2"/>
        <v>21</v>
      </c>
      <c r="Z114" s="3">
        <f t="shared" si="2"/>
        <v>29</v>
      </c>
      <c r="AA114" s="3">
        <f t="shared" si="2"/>
        <v>5</v>
      </c>
      <c r="AB114" s="3">
        <f t="shared" si="2"/>
        <v>17</v>
      </c>
      <c r="AC114" s="3">
        <f t="shared" si="2"/>
        <v>21</v>
      </c>
      <c r="AD114" s="3">
        <f t="shared" si="2"/>
        <v>67</v>
      </c>
      <c r="AE114" s="3">
        <f t="shared" si="2"/>
        <v>25</v>
      </c>
      <c r="AF114" s="3">
        <f t="shared" si="2"/>
        <v>13</v>
      </c>
      <c r="AG114" s="3">
        <f t="shared" si="2"/>
        <v>44</v>
      </c>
      <c r="AH114" s="3">
        <f t="shared" si="2"/>
        <v>54</v>
      </c>
      <c r="AI114" s="3">
        <f t="shared" ref="AI114:BR114" si="3">SUM(AI4:AI112)</f>
        <v>28</v>
      </c>
      <c r="AJ114" s="3">
        <f t="shared" si="3"/>
        <v>18</v>
      </c>
      <c r="AK114" s="3">
        <f t="shared" si="3"/>
        <v>17</v>
      </c>
      <c r="AL114" s="3">
        <f t="shared" si="3"/>
        <v>43</v>
      </c>
      <c r="AM114" s="3">
        <f t="shared" si="3"/>
        <v>10</v>
      </c>
      <c r="AN114" s="3">
        <f t="shared" si="3"/>
        <v>7</v>
      </c>
      <c r="AO114" s="3">
        <f t="shared" si="3"/>
        <v>14</v>
      </c>
      <c r="AP114" s="3">
        <f t="shared" si="3"/>
        <v>13</v>
      </c>
      <c r="AQ114" s="3">
        <f t="shared" si="3"/>
        <v>15</v>
      </c>
      <c r="AR114" s="3">
        <f t="shared" si="3"/>
        <v>39</v>
      </c>
      <c r="AS114" s="3">
        <f t="shared" si="3"/>
        <v>20</v>
      </c>
      <c r="AT114" s="3">
        <f t="shared" si="3"/>
        <v>32</v>
      </c>
      <c r="AU114" s="3">
        <f t="shared" si="3"/>
        <v>82</v>
      </c>
      <c r="AV114" s="3">
        <f t="shared" si="3"/>
        <v>23</v>
      </c>
      <c r="AW114" s="3">
        <f t="shared" si="3"/>
        <v>7</v>
      </c>
      <c r="AX114" s="3">
        <f t="shared" si="3"/>
        <v>12</v>
      </c>
      <c r="AY114" s="3">
        <f t="shared" si="3"/>
        <v>11</v>
      </c>
      <c r="AZ114" s="3">
        <f t="shared" si="3"/>
        <v>7</v>
      </c>
      <c r="BA114" s="3">
        <f t="shared" si="3"/>
        <v>41</v>
      </c>
      <c r="BB114" s="3">
        <f t="shared" si="3"/>
        <v>19</v>
      </c>
      <c r="BC114" s="3">
        <f t="shared" si="3"/>
        <v>15</v>
      </c>
      <c r="BD114" s="3">
        <f t="shared" si="3"/>
        <v>9</v>
      </c>
      <c r="BE114" s="3">
        <f t="shared" si="3"/>
        <v>12</v>
      </c>
      <c r="BF114" s="3">
        <f t="shared" si="3"/>
        <v>8</v>
      </c>
      <c r="BG114" s="3">
        <f t="shared" si="3"/>
        <v>12</v>
      </c>
      <c r="BH114" s="3">
        <f t="shared" si="3"/>
        <v>9</v>
      </c>
      <c r="BI114" s="3">
        <f t="shared" si="3"/>
        <v>21</v>
      </c>
      <c r="BJ114" s="3">
        <f t="shared" si="3"/>
        <v>18</v>
      </c>
      <c r="BK114" s="3">
        <f t="shared" si="3"/>
        <v>14</v>
      </c>
      <c r="BL114" s="3">
        <f t="shared" si="3"/>
        <v>6</v>
      </c>
      <c r="BM114" s="3">
        <f t="shared" si="3"/>
        <v>8</v>
      </c>
      <c r="BN114" s="3">
        <f t="shared" si="3"/>
        <v>7</v>
      </c>
      <c r="BO114" s="3">
        <f t="shared" si="3"/>
        <v>11</v>
      </c>
      <c r="BP114" s="3">
        <f t="shared" si="3"/>
        <v>24</v>
      </c>
      <c r="BQ114" s="3">
        <f t="shared" si="3"/>
        <v>4</v>
      </c>
      <c r="BR114" s="3">
        <f t="shared" si="3"/>
        <v>6</v>
      </c>
      <c r="BY114">
        <f t="shared" ref="BY114:CG114" si="4">SUM(BY4:BY112)</f>
        <v>7</v>
      </c>
      <c r="BZ114">
        <f t="shared" si="4"/>
        <v>6</v>
      </c>
      <c r="CA114">
        <f t="shared" si="4"/>
        <v>57</v>
      </c>
      <c r="CB114">
        <f t="shared" si="4"/>
        <v>10</v>
      </c>
      <c r="CC114">
        <f t="shared" si="4"/>
        <v>5</v>
      </c>
      <c r="CD114">
        <f t="shared" si="4"/>
        <v>7</v>
      </c>
      <c r="CE114">
        <f t="shared" si="4"/>
        <v>9</v>
      </c>
      <c r="CF114">
        <f t="shared" si="4"/>
        <v>3</v>
      </c>
      <c r="CG114">
        <f t="shared" si="4"/>
        <v>5</v>
      </c>
    </row>
  </sheetData>
  <dataConsolidate/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scotch.xls</vt:lpstr>
    </vt:vector>
  </TitlesOfParts>
  <Company>Université de 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Borcard</dc:creator>
  <cp:lastModifiedBy>Microsoft Office-gebruiker</cp:lastModifiedBy>
  <dcterms:created xsi:type="dcterms:W3CDTF">2016-07-14T15:40:44Z</dcterms:created>
  <dcterms:modified xsi:type="dcterms:W3CDTF">2017-01-31T10:58:03Z</dcterms:modified>
</cp:coreProperties>
</file>